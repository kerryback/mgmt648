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Historicals" sheetId="2" state="visible" r:id="rId4"/>
    <sheet name="Ratios" sheetId="3" state="visible" r:id="rId5"/>
    <sheet name="WACC" sheetId="4" state="visible" r:id="rId6"/>
    <sheet name="DCF" sheetId="5" state="visible" r:id="rId7"/>
    <sheet name="Sensitivit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<sst xmlns="http://schemas.openxmlformats.org/spreadsheetml/2006/main" count="396" uniqueCount="329">
  <si>
    <t xml:space="preserve">Walmart Inc. (WMT) - Two-Stage DCF Valuation Summary</t>
  </si>
  <si>
    <t xml:space="preserve">Prepared September 15, 2026. Financial data from Yahoo Finance, with SEC EDGAR for FY2022 and for the debt, lease and PP&amp;E detail.</t>
  </si>
  <si>
    <t xml:space="preserve">VALUATION RESULT</t>
  </si>
  <si>
    <t xml:space="preserve">Perpetuity growth</t>
  </si>
  <si>
    <t xml:space="preserve">Exit multiple</t>
  </si>
  <si>
    <t xml:space="preserve">Enterprise value ($mm)</t>
  </si>
  <si>
    <t xml:space="preserve">Bridge: net debt, other long-term items and minority interest ($mm)</t>
  </si>
  <si>
    <t xml:space="preserve">Equity value ($mm)</t>
  </si>
  <si>
    <t xml:space="preserve">Diluted shares outstanding (mm)</t>
  </si>
  <si>
    <t xml:space="preserve">Implied value per share</t>
  </si>
  <si>
    <t xml:space="preserve">The two methods differ only in how the terminal value is set.</t>
  </si>
  <si>
    <t xml:space="preserve">Current share price</t>
  </si>
  <si>
    <t xml:space="preserve">Implied upside / (downside)</t>
  </si>
  <si>
    <t xml:space="preserve">KEY INPUTS</t>
  </si>
  <si>
    <t xml:space="preserve">Weighted average cost of capital</t>
  </si>
  <si>
    <t xml:space="preserve">CAPM cost of equity 7.95% on a 4.97% risk-free rate and 0.595 beta.</t>
  </si>
  <si>
    <t xml:space="preserve">Terminal growth rate</t>
  </si>
  <si>
    <t xml:space="preserve">FY2031 already grows at this rate, so it is the steady-state year.</t>
  </si>
  <si>
    <t xml:space="preserve">Net PP&amp;E % of next year revenue  (k)</t>
  </si>
  <si>
    <t xml:space="preserve">FY2025 actual 17.7%. Drives capex, which is the residual.</t>
  </si>
  <si>
    <t xml:space="preserve">Depreciation % of opening net PP&amp;E  (d)</t>
  </si>
  <si>
    <t xml:space="preserve">FY2023-FY2026 actuals sat in an 11.07-11.26% band.</t>
  </si>
  <si>
    <t xml:space="preserve">Net working capital % of next year revenue  (w)</t>
  </si>
  <si>
    <t xml:space="preserve">FY2022-FY2025 averaged -2.7%.</t>
  </si>
  <si>
    <t xml:space="preserve">FY2031 operating margin</t>
  </si>
  <si>
    <t xml:space="preserve">Versus 4.18% in FY2026.</t>
  </si>
  <si>
    <t xml:space="preserve">FY2027-FY2031 implied capex % of revenue</t>
  </si>
  <si>
    <t xml:space="preserve">Output, not an input. FY2022-FY2026 actuals ran 2.3% to 3.7%.</t>
  </si>
  <si>
    <t xml:space="preserve">WHAT THE MARKET IS PRICING</t>
  </si>
  <si>
    <t xml:space="preserve">Enterprise value at the current share price ($mm)</t>
  </si>
  <si>
    <t xml:space="preserve">Enterprise value / FY2026 EBITDA at market</t>
  </si>
  <si>
    <t xml:space="preserve">Price / FY2026 diluted earnings per share</t>
  </si>
  <si>
    <t xml:space="preserve">Enterprise value / FY2026 free cash flow at market</t>
  </si>
  <si>
    <t xml:space="preserve">Perpetual growth rate implied by the current price</t>
  </si>
  <si>
    <t xml:space="preserve">Solved from the reverse DCF on the Sensitivity sheet.</t>
  </si>
  <si>
    <t xml:space="preserve">HOW THIS MODEL IS BUILT</t>
  </si>
  <si>
    <t xml:space="preserve">- Three ratios drive the forecast, following the worked example earlier in the course: net PP&amp;E is k times next year revenue, depreciation is d times the opening net PP&amp;E balance, and net working capital is w times next year revenue. Capital expenditure is the residual that reconciles the opening and closing PP&amp;E balances.</t>
  </si>
  <si>
    <t xml:space="preserve">- The forecast is built on invested capital, not total assets. Total assets mixes depreciating operating capital, non-depreciating operating capital and financial items, so no single ratio fits it and depreciation has no coherent denominator.</t>
  </si>
  <si>
    <t xml:space="preserve">- Every balance sheet item belongs in exactly one of two places: invested capital, if it produces the operating cash flows being discounted, or the enterprise-value-to-equity bridge, if it does not. Never both, and never neither.</t>
  </si>
  <si>
    <t xml:space="preserve">- Goodwill and the netted other long-term items are held flat, because neither can be forecast meaningfully, and both are carried in the bridge at book value.</t>
  </si>
  <si>
    <t xml:space="preserve">- Leases are split. Finance leases sit inside the depreciable PP&amp;E base and inside debt, because they depreciate and carry interest. Operating leases are excluded from both, and their rent stays inside EBIT.</t>
  </si>
  <si>
    <t xml:space="preserve">- The operating build of invested capital ties exactly to net debt plus noncontrolling interest plus equity in all five historical years, so the balance sheet articulates and the forecast inherits that discipline.</t>
  </si>
  <si>
    <t xml:space="preserve">- Free cash flow is shown two ways and reconciled: NOPAT plus depreciation less capex and working capital, and NOPAT less the increase in invested capital. They agree by construction.</t>
  </si>
  <si>
    <t xml:space="preserve">- Colour key: blue = input, black = formula, green = link to another sheet, yellow = the assumptions that drive the answer.</t>
  </si>
  <si>
    <t xml:space="preserve">Walmart Inc. (NYSE: WMT) - Historical Financials</t>
  </si>
  <si>
    <t xml:space="preserve">$ in millions except per-share data. Fiscal years end January 31 (FY2026 = year ended January 31, 2026).</t>
  </si>
  <si>
    <t xml:space="preserve">Fiscal year ended January 31,</t>
  </si>
  <si>
    <t xml:space="preserve">FY2022</t>
  </si>
  <si>
    <t xml:space="preserve">FY2023</t>
  </si>
  <si>
    <t xml:space="preserve">FY2024</t>
  </si>
  <si>
    <t xml:space="preserve">FY2025</t>
  </si>
  <si>
    <t xml:space="preserve">FY2026</t>
  </si>
  <si>
    <t xml:space="preserve">Source / note</t>
  </si>
  <si>
    <t xml:space="preserve">INCOME STATEMENT</t>
  </si>
  <si>
    <t xml:space="preserve">Revenue</t>
  </si>
  <si>
    <t xml:space="preserve">Yahoo Finance (yfinance), WMT annual statements, 9/15/2026</t>
  </si>
  <si>
    <t xml:space="preserve">Cost of revenue</t>
  </si>
  <si>
    <t xml:space="preserve">Gross profit</t>
  </si>
  <si>
    <t xml:space="preserve">Operating, selling, general and administrative expenses</t>
  </si>
  <si>
    <t xml:space="preserve">Operating income (EBIT)</t>
  </si>
  <si>
    <t xml:space="preserve">Memo: depreciation and amortisation (included in costs above)</t>
  </si>
  <si>
    <t xml:space="preserve">EBITDA</t>
  </si>
  <si>
    <t xml:space="preserve">Interest expense</t>
  </si>
  <si>
    <t xml:space="preserve">Interest income and other gains/(losses), net</t>
  </si>
  <si>
    <t xml:space="preserve">Pretax income</t>
  </si>
  <si>
    <t xml:space="preserve">Income tax provision</t>
  </si>
  <si>
    <t xml:space="preserve">Consolidated net income</t>
  </si>
  <si>
    <t xml:space="preserve">Less: net income attributable to noncontrolling interest</t>
  </si>
  <si>
    <t xml:space="preserve">Net income attributable to Walmart</t>
  </si>
  <si>
    <t xml:space="preserve">Diluted weighted average shares outstanding</t>
  </si>
  <si>
    <t xml:space="preserve">Yahoo Finance (yfinance), WMT annual statements, 9/15/2026; FY2022 restated for the 3-for-1 split (Feb 2024)</t>
  </si>
  <si>
    <t xml:space="preserve">Diluted earnings per share</t>
  </si>
  <si>
    <t xml:space="preserve">BALANCE SHEET</t>
  </si>
  <si>
    <t xml:space="preserve">Cash and cash equivalents</t>
  </si>
  <si>
    <t xml:space="preserve">Receivables, net</t>
  </si>
  <si>
    <t xml:space="preserve">Inventories</t>
  </si>
  <si>
    <t xml:space="preserve">Other current assets</t>
  </si>
  <si>
    <t xml:space="preserve">Total current assets</t>
  </si>
  <si>
    <t xml:space="preserve">Property and equipment incl. finance lease ROU assets, net</t>
  </si>
  <si>
    <t xml:space="preserve">SEC EDGAR XBRL companyfacts, CIK 0000104169; the depreciable base</t>
  </si>
  <si>
    <t xml:space="preserve">Operating lease right-of-use assets</t>
  </si>
  <si>
    <t xml:space="preserve">SEC EDGAR XBRL companyfacts, CIK 0000104169</t>
  </si>
  <si>
    <t xml:space="preserve">Goodwill</t>
  </si>
  <si>
    <t xml:space="preserve">Other long-term assets</t>
  </si>
  <si>
    <t xml:space="preserve">Plug to total assets</t>
  </si>
  <si>
    <t xml:space="preserve">Total assets</t>
  </si>
  <si>
    <t xml:space="preserve">Accounts payable</t>
  </si>
  <si>
    <t xml:space="preserve">Accrued and other current liabilities</t>
  </si>
  <si>
    <t xml:space="preserve">Short-term borrowings and current portion of long-term debt</t>
  </si>
  <si>
    <t xml:space="preserve">Current portion of finance lease obligations</t>
  </si>
  <si>
    <t xml:space="preserve">Current portion of operating lease liabilities</t>
  </si>
  <si>
    <t xml:space="preserve">Total current liabilities</t>
  </si>
  <si>
    <t xml:space="preserve">Long-term debt</t>
  </si>
  <si>
    <t xml:space="preserve">Long-term finance lease obligations</t>
  </si>
  <si>
    <t xml:space="preserve">Long-term operating lease liabilities</t>
  </si>
  <si>
    <t xml:space="preserve">Other long-term liabilities</t>
  </si>
  <si>
    <t xml:space="preserve">Plug to total liabilities</t>
  </si>
  <si>
    <t xml:space="preserve">Total liabilities</t>
  </si>
  <si>
    <t xml:space="preserve">Noncontrolling interest</t>
  </si>
  <si>
    <t xml:space="preserve">Total Walmart shareholders' equity</t>
  </si>
  <si>
    <t xml:space="preserve">Total liabilities and equity</t>
  </si>
  <si>
    <t xml:space="preserve">Check: total assets less total liabilities and equity</t>
  </si>
  <si>
    <t xml:space="preserve">INVESTED CAPITAL AND DEBT</t>
  </si>
  <si>
    <t xml:space="preserve">Total financial debt (incl. finance leases)</t>
  </si>
  <si>
    <t xml:space="preserve">Operating leases excluded; rent stays inside EBIT above.</t>
  </si>
  <si>
    <t xml:space="preserve">Net debt (financial debt less cash)</t>
  </si>
  <si>
    <t xml:space="preserve">Memo: total operating lease liabilities (excluded from debt)</t>
  </si>
  <si>
    <t xml:space="preserve">Net operating working capital</t>
  </si>
  <si>
    <t xml:space="preserve">Non-cash current assets less non-debt, non-lease current liabilities.</t>
  </si>
  <si>
    <t xml:space="preserve">Property and equipment, net (depreciable base)</t>
  </si>
  <si>
    <t xml:space="preserve">Goodwill (non-depreciating)</t>
  </si>
  <si>
    <t xml:space="preserve">Operating lease ROU assets net of operating lease liabilities</t>
  </si>
  <si>
    <t xml:space="preserve">Net other long-term operating assets/(liabilities)</t>
  </si>
  <si>
    <t xml:space="preserve">Invested capital</t>
  </si>
  <si>
    <t xml:space="preserve">Net debt + noncontrolling interest + equity</t>
  </si>
  <si>
    <t xml:space="preserve">Check: operating build less financing build</t>
  </si>
  <si>
    <t xml:space="preserve">Zero in every year: the balance sheet articulates.</t>
  </si>
  <si>
    <t xml:space="preserve">CASH FLOW</t>
  </si>
  <si>
    <t xml:space="preserve">Net cash provided by operating activities</t>
  </si>
  <si>
    <t xml:space="preserve">Capital expenditures</t>
  </si>
  <si>
    <t xml:space="preserve">Free cash flow (OCF less capex)</t>
  </si>
  <si>
    <t xml:space="preserve">Memo: PP&amp;E roll-forward implied capex (change in PP&amp;E plus D&amp;A)</t>
  </si>
  <si>
    <t xml:space="preserve">n/a</t>
  </si>
  <si>
    <t xml:space="preserve">Memo: non-cash additions to PP&amp;E (finance leases, M&amp;A, FX, disposals)</t>
  </si>
  <si>
    <t xml:space="preserve">The reconciling item between the roll-forward and reported capex.</t>
  </si>
  <si>
    <t xml:space="preserve">Colour key: blue = input / sourced data, black = formula, green = link to another worksheet, yellow = key assumption.</t>
  </si>
  <si>
    <t xml:space="preserve">FY2022 income statement, cash flow and share count come from SEC EDGAR because Yahoo Finance returns an incomplete fifth year for WMT. FY2023-FY2026 income statement and cash flow are from Yahoo Finance.</t>
  </si>
  <si>
    <t xml:space="preserve">Debt, lease and PP&amp;E components for all five years come from SEC EDGAR, which reports the finance/operating lease split and the PP&amp;E balance excluding right-of-use assets that Yahoo Finance lumps together.</t>
  </si>
  <si>
    <t xml:space="preserve">Historical Ratio Analysis</t>
  </si>
  <si>
    <t xml:space="preserve">The drivers extrapolated in the DCF. FY2023 operating margin is depressed by opioid legal charges.</t>
  </si>
  <si>
    <t xml:space="preserve">5-yr avg</t>
  </si>
  <si>
    <t xml:space="preserve">3-yr avg</t>
  </si>
  <si>
    <t xml:space="preserve">Comment</t>
  </si>
  <si>
    <t xml:space="preserve">GROWTH</t>
  </si>
  <si>
    <t xml:space="preserve">Revenue growth</t>
  </si>
  <si>
    <t xml:space="preserve">Decelerating: 6.7% to 4.7% over four years.</t>
  </si>
  <si>
    <t xml:space="preserve">EBITDA growth</t>
  </si>
  <si>
    <t xml:space="preserve">Net income growth</t>
  </si>
  <si>
    <t xml:space="preserve">MARGINS AND TAX</t>
  </si>
  <si>
    <t xml:space="preserve">Gross margin</t>
  </si>
  <si>
    <t xml:space="preserve">Widening on e-commerce, advertising and membership mix.</t>
  </si>
  <si>
    <t xml:space="preserve">Operating margin (EBIT)</t>
  </si>
  <si>
    <t xml:space="preserve">c.4.2-4.3% excluding the FY2023 charges.</t>
  </si>
  <si>
    <t xml:space="preserve">EBITDA margin</t>
  </si>
  <si>
    <t xml:space="preserve">Net margin</t>
  </si>
  <si>
    <t xml:space="preserve">Effective tax rate</t>
  </si>
  <si>
    <t xml:space="preserve">FY2023 elevated by non-deductible items.</t>
  </si>
  <si>
    <t xml:space="preserve">FIXED CAPITAL - THE THREE COURSE RATIOS</t>
  </si>
  <si>
    <t xml:space="preserve">Net PP&amp;E as % of next year revenue  (k)</t>
  </si>
  <si>
    <t xml:space="preserve">Rising: WMT is carrying more plant per dollar of the sales it serves. The key fixed-capital judgment.</t>
  </si>
  <si>
    <t xml:space="preserve">Depreciation as % of opening net PP&amp;E  (d)</t>
  </si>
  <si>
    <t xml:space="preserve">11.07%, 11.22%, 11.12%, 11.26%. Stable enough to hold constant.</t>
  </si>
  <si>
    <t xml:space="preserve">Implied average depreciable life (years)</t>
  </si>
  <si>
    <t xml:space="preserve">About 8.9 years, consistent across the period.</t>
  </si>
  <si>
    <t xml:space="preserve">Capital expenditures % of revenue</t>
  </si>
  <si>
    <t xml:space="preserve">Output of the three ratios, not an input. Ran 2.3% to 3.7%.</t>
  </si>
  <si>
    <t xml:space="preserve">Capex / depreciation</t>
  </si>
  <si>
    <t xml:space="preserve">Above 1.0x, so the asset base is still growing.</t>
  </si>
  <si>
    <t xml:space="preserve">OTHER COMPONENTS OF INVESTED CAPITAL</t>
  </si>
  <si>
    <t xml:space="preserve">Net working capital as % of next year revenue  (w)</t>
  </si>
  <si>
    <t xml:space="preserve">Stable near -2.7%: supplier float, so growth releases cash.</t>
  </si>
  <si>
    <t xml:space="preserve">Net other long-term assets % of revenue</t>
  </si>
  <si>
    <t xml:space="preserve">Small. Held flat and carried in the bridge rather than forecast.</t>
  </si>
  <si>
    <t xml:space="preserve">Goodwill % of revenue</t>
  </si>
  <si>
    <t xml:space="preserve">Does not depreciate. Held flat in an organic forecast.</t>
  </si>
  <si>
    <t xml:space="preserve">Operating lease ROU net of lease liabilities % of revenue</t>
  </si>
  <si>
    <t xml:space="preserve">Near zero: the asset and liability offset, which is why both are excluded.</t>
  </si>
  <si>
    <t xml:space="preserve">RETURNS AND LEVERAGE</t>
  </si>
  <si>
    <t xml:space="preserve">NOPAT (EBIT after tax), $mm</t>
  </si>
  <si>
    <t xml:space="preserve">Return on invested capital</t>
  </si>
  <si>
    <t xml:space="preserve">NOPAT / invested capital, on the operating build above.</t>
  </si>
  <si>
    <t xml:space="preserve">Return on equity</t>
  </si>
  <si>
    <t xml:space="preserve">Total financial debt / EBITDA</t>
  </si>
  <si>
    <t xml:space="preserve">EBITDA / interest expense</t>
  </si>
  <si>
    <t xml:space="preserve">Free cash flow conversion (FCF / net income)</t>
  </si>
  <si>
    <t xml:space="preserve">The three ratios follow the course convention: the PP&amp;E and working capital balances are set against NEXT year capacity is in place before the sales it serves, and depreciation is charged on the OPENING balance. Ratios against next year revenue stop at FY2025, the last year with a following year in the data.</t>
  </si>
  <si>
    <t xml:space="preserve">Cost of Capital</t>
  </si>
  <si>
    <t xml:space="preserve">Market data as of September 15, 2026. Blue cells are inputs you can change.</t>
  </si>
  <si>
    <t xml:space="preserve">MARKET DATA</t>
  </si>
  <si>
    <t xml:space="preserve">Share price</t>
  </si>
  <si>
    <t xml:space="preserve">Source: Yahoo Finance, WMT close, 9/15/2026</t>
  </si>
  <si>
    <t xml:space="preserve">Source: Yahoo Finance, FY2026 diluted weighted average shares</t>
  </si>
  <si>
    <t xml:space="preserve">Market capitalisation ($mm)</t>
  </si>
  <si>
    <t xml:space="preserve">Total financial debt ($mm)</t>
  </si>
  <si>
    <t xml:space="preserve">Link: Historicals, FY2026</t>
  </si>
  <si>
    <t xml:space="preserve">Less: cash and cash equivalents ($mm)</t>
  </si>
  <si>
    <t xml:space="preserve">Net debt ($mm)</t>
  </si>
  <si>
    <t xml:space="preserve">Noncontrolling interest ($mm)</t>
  </si>
  <si>
    <t xml:space="preserve">Enterprise value at market ($mm)</t>
  </si>
  <si>
    <t xml:space="preserve">COST OF EQUITY (CAPM)</t>
  </si>
  <si>
    <t xml:space="preserve">Risk-free rate</t>
  </si>
  <si>
    <t xml:space="preserve">Source: FRED series DGS10, 10-year Treasury constant maturity, 9/14/2026</t>
  </si>
  <si>
    <t xml:space="preserve">Equity risk premium</t>
  </si>
  <si>
    <t xml:space="preserve">Assumption: long-run US equity risk premium</t>
  </si>
  <si>
    <t xml:space="preserve">Levered beta</t>
  </si>
  <si>
    <t xml:space="preserve">Source: Yahoo Finance, WMT beta (5-yr monthly vs. S&amp;P 500)</t>
  </si>
  <si>
    <t xml:space="preserve">Cost of equity</t>
  </si>
  <si>
    <t xml:space="preserve">COST OF DEBT</t>
  </si>
  <si>
    <t xml:space="preserve">Pre-tax cost of debt</t>
  </si>
  <si>
    <t xml:space="preserve">Assumption: 10-yr Treasury plus c.35bp for WMT senior unsecured (AA rated)</t>
  </si>
  <si>
    <t xml:space="preserve">Marginal tax rate</t>
  </si>
  <si>
    <t xml:space="preserve">Assumption: 21% federal plus state, consistent with recent effective rates</t>
  </si>
  <si>
    <t xml:space="preserve">After-tax cost of debt</t>
  </si>
  <si>
    <t xml:space="preserve">Memo: FY2026 interest expense / average financial debt</t>
  </si>
  <si>
    <t xml:space="preserve">Backward-looking check on the input above; includes finance lease interest.</t>
  </si>
  <si>
    <t xml:space="preserve">CAPITAL STRUCTURE AND WACC</t>
  </si>
  <si>
    <t xml:space="preserve">Market value of equity</t>
  </si>
  <si>
    <t xml:space="preserve">Total financial debt (book value as proxy for market value)</t>
  </si>
  <si>
    <t xml:space="preserve">Total capital</t>
  </si>
  <si>
    <t xml:space="preserve">Weight of equity</t>
  </si>
  <si>
    <t xml:space="preserve">Weight of debt</t>
  </si>
  <si>
    <t xml:space="preserve">Key driver of the valuation. Test it on the Sensitivity sheet.</t>
  </si>
  <si>
    <t xml:space="preserve">Operating leases are excluded from debt and their rent is left inside EBIT, so the income statement and the debt bridge are on the same basis.</t>
  </si>
  <si>
    <t xml:space="preserve">Two-Stage Enterprise Valuation - Discounted Free Cash Flow to the Firm</t>
  </si>
  <si>
    <t xml:space="preserve">$ in millions. Fixed capital follows the course convention: the PP&amp;E balance is set against next year revenue, depreciation is charged on the opening balance, and capital expenditure is the residual.</t>
  </si>
  <si>
    <t xml:space="preserve">FY2026A</t>
  </si>
  <si>
    <t xml:space="preserve">FY2027E</t>
  </si>
  <si>
    <t xml:space="preserve">FY2028E</t>
  </si>
  <si>
    <t xml:space="preserve">FY2029E</t>
  </si>
  <si>
    <t xml:space="preserve">FY2030E</t>
  </si>
  <si>
    <t xml:space="preserve">FY2031E</t>
  </si>
  <si>
    <t xml:space="preserve">Basis for the assumption</t>
  </si>
  <si>
    <t xml:space="preserve">STAGE 1 DRIVERS</t>
  </si>
  <si>
    <t xml:space="preserve">FY2026 actual 4.7%, fading to the 3.0% terminal rate by FY2031.</t>
  </si>
  <si>
    <t xml:space="preserve">FY2026 4.18%; gentle expansion, then held flat in the steady-state year.</t>
  </si>
  <si>
    <t xml:space="preserve">FY2024-FY2026 average is 24.4%.</t>
  </si>
  <si>
    <t xml:space="preserve">FY2025 actual 17.7% and rising; 19.0% holds WMT at its current, elevated asset intensity.</t>
  </si>
  <si>
    <t xml:space="preserve">FY2023-FY2026 actuals: 11.07%, 11.22%, 11.12%, 11.26%. An implied 8.9-year life.</t>
  </si>
  <si>
    <t xml:space="preserve">Non-cash additions to net PP&amp;E ($mm)</t>
  </si>
  <si>
    <t xml:space="preserve">Finance lease additions, acquired PP&amp;E, FX and disposals. Four-year average of the reconciling residual.</t>
  </si>
  <si>
    <t xml:space="preserve">FY2022-FY2025 actuals averaged -2.7%; growth releases cash.</t>
  </si>
  <si>
    <t xml:space="preserve">STAGE 1 FORECAST</t>
  </si>
  <si>
    <t xml:space="preserve">Next year revenue</t>
  </si>
  <si>
    <t xml:space="preserve">FY2031 grows at the terminal rate, making it the steady-state year.</t>
  </si>
  <si>
    <t xml:space="preserve">Less: taxes on EBIT</t>
  </si>
  <si>
    <t xml:space="preserve">Net operating profit after tax (NOPAT)</t>
  </si>
  <si>
    <t xml:space="preserve">PROPERTY AND EQUIPMENT ROLL-FORWARD</t>
  </si>
  <si>
    <t xml:space="preserve">Net PP&amp;E, beginning of year</t>
  </si>
  <si>
    <t xml:space="preserve">Plus: capital expenditures (RESIDUAL)</t>
  </si>
  <si>
    <t xml:space="preserve">Funds the increase in the balance and replaces what was depreciated.</t>
  </si>
  <si>
    <t xml:space="preserve">Plus: non-cash additions (finance leases, M&amp;A, FX)</t>
  </si>
  <si>
    <t xml:space="preserve">Less: depreciation</t>
  </si>
  <si>
    <t xml:space="preserve">Charged on the OPENING balance, per the course convention.</t>
  </si>
  <si>
    <t xml:space="preserve">Net PP&amp;E, end of year</t>
  </si>
  <si>
    <t xml:space="preserve">Set by k times next year revenue: capacity is in place before the sales it serves.</t>
  </si>
  <si>
    <t xml:space="preserve">Memo: implied capex % of revenue</t>
  </si>
  <si>
    <t xml:space="preserve">Output of the three ratios. FY2022-FY2026 actuals ran 2.3% to 3.7%.</t>
  </si>
  <si>
    <t xml:space="preserve">Memo: implied capex / depreciation</t>
  </si>
  <si>
    <t xml:space="preserve">Memo: EBITDA</t>
  </si>
  <si>
    <t xml:space="preserve">INVESTED CAPITAL</t>
  </si>
  <si>
    <t xml:space="preserve">Net working capital</t>
  </si>
  <si>
    <t xml:space="preserve">Net PP&amp;E</t>
  </si>
  <si>
    <t xml:space="preserve">Held flat: goodwill does not depreciate and this is an organic forecast.</t>
  </si>
  <si>
    <t xml:space="preserve">Operating lease ROU net of lease liabilities</t>
  </si>
  <si>
    <t xml:space="preserve">Held flat; the asset and liability substantially offset.</t>
  </si>
  <si>
    <t xml:space="preserve">Net other long-term assets/(liabilities)</t>
  </si>
  <si>
    <t xml:space="preserve">Held flat and treated as non-operating: carried at book value in the bridge below.</t>
  </si>
  <si>
    <t xml:space="preserve">Increase in invested capital</t>
  </si>
  <si>
    <t xml:space="preserve">Memo: return on invested capital</t>
  </si>
  <si>
    <t xml:space="preserve">NOPAT / invested capital. Historic range 15-17%.</t>
  </si>
  <si>
    <t xml:space="preserve">FREE CASH FLOW TO THE FIRM</t>
  </si>
  <si>
    <t xml:space="preserve">NOPAT</t>
  </si>
  <si>
    <t xml:space="preserve">Plus: depreciation</t>
  </si>
  <si>
    <t xml:space="preserve">Less: capital expenditures</t>
  </si>
  <si>
    <t xml:space="preserve">Less: increase in net working capital</t>
  </si>
  <si>
    <t xml:space="preserve">Less: increase in goodwill, lease and other long-term items</t>
  </si>
  <si>
    <t xml:space="preserve">Free cash flow to the firm</t>
  </si>
  <si>
    <t xml:space="preserve">Check: NOPAT less increase in invested capital, plus non-cash additions</t>
  </si>
  <si>
    <t xml:space="preserve">FCFF = NOPAT less reinvestment. The two builds must agree.</t>
  </si>
  <si>
    <t xml:space="preserve">Check: difference versus free cash flow above</t>
  </si>
  <si>
    <t xml:space="preserve">Discount period (years, end-of-year convention)</t>
  </si>
  <si>
    <t xml:space="preserve">Discount factor at WACC</t>
  </si>
  <si>
    <t xml:space="preserve">Present value of free cash flow</t>
  </si>
  <si>
    <t xml:space="preserve">STAGE 2 TERMINAL VALUE - TWO APPROACHES</t>
  </si>
  <si>
    <t xml:space="preserve">FY2031 already grows at this rate and all three ratios are fixed, so it is the steady-state year.</t>
  </si>
  <si>
    <t xml:space="preserve">Exit EV / EBITDA multiple</t>
  </si>
  <si>
    <t xml:space="preserve">Walmart trades near 20x EV/EBITDA today; 12x is closer to the long-run retail average.</t>
  </si>
  <si>
    <t xml:space="preserve">Terminal year (FY2031) free cash flow</t>
  </si>
  <si>
    <t xml:space="preserve">Terminal year (FY2031) EBITDA</t>
  </si>
  <si>
    <t xml:space="preserve">Terminal value at end of FY2031</t>
  </si>
  <si>
    <t xml:space="preserve">Discount factor at end of FY2031</t>
  </si>
  <si>
    <t xml:space="preserve">Present value of terminal value</t>
  </si>
  <si>
    <t xml:space="preserve">ENTERPRISE VALUE AND EQUITY BRIDGE</t>
  </si>
  <si>
    <t xml:space="preserve">Present value of Stage 1 free cash flows</t>
  </si>
  <si>
    <t xml:space="preserve">Present value of Stage 2 terminal value</t>
  </si>
  <si>
    <t xml:space="preserve">Enterprise value</t>
  </si>
  <si>
    <t xml:space="preserve">The value of the operating business.</t>
  </si>
  <si>
    <t xml:space="preserve">Less: total financial debt</t>
  </si>
  <si>
    <t xml:space="preserve">Plus: cash and cash equivalents</t>
  </si>
  <si>
    <t xml:space="preserve">Plus: net other long-term assets/(liabilities)</t>
  </si>
  <si>
    <t xml:space="preserve">Non-operating, so it is added here at book value rather than forecast.</t>
  </si>
  <si>
    <t xml:space="preserve">Less: noncontrolling interest</t>
  </si>
  <si>
    <t xml:space="preserve">Equity value</t>
  </si>
  <si>
    <t xml:space="preserve">Memo: share of enterprise value from the terminal value</t>
  </si>
  <si>
    <t xml:space="preserve">Memo: implied enterprise value / FY2026 EBITDA</t>
  </si>
  <si>
    <t xml:space="preserve">Memo: implied price / FY2026 diluted earnings per share</t>
  </si>
  <si>
    <t xml:space="preserve">Memo: FY2031 return on invested capital</t>
  </si>
  <si>
    <t xml:space="preserve">The three ratios follow the worked example earlier in the course: net PP&amp;E and net working capital are set against NEXT year revenue, and depreciation is charged on the OPENING net PP&amp;E balance. Capital expenditure is then the residual that reconciles the two balances.</t>
  </si>
  <si>
    <t xml:space="preserve">Every balance sheet item belongs in exactly one place: invested capital if it produces the operating cash flows being discounted, or the bridge if it does not. Goodwill and the net other long-term items are held flat and carried in the bridge.</t>
  </si>
  <si>
    <t xml:space="preserve">Yellow cells are the assumptions that drive the answer. Everything else is a formula.</t>
  </si>
  <si>
    <t xml:space="preserve">Sensitivity and Reverse DCF</t>
  </si>
  <si>
    <t xml:space="preserve">Value per share across discount rate, terminal growth and asset intensity, and the growth the current price already implies.</t>
  </si>
  <si>
    <t xml:space="preserve">IMPLIED VALUE PER SHARE - WACC VERSUS TERMINAL GROWTH</t>
  </si>
  <si>
    <t xml:space="preserve">WACC (down) versus terminal growth rate (across)</t>
  </si>
  <si>
    <t xml:space="preserve">WACC</t>
  </si>
  <si>
    <t xml:space="preserve">Each cell rebuilds the valuation from the Stage 1 cash flows on the DCF sheet, which do not themselves depend on WACC or terminal growth.</t>
  </si>
  <si>
    <t xml:space="preserve">REVERSE DCF - WHAT THE CURRENT PRICE IMPLIES</t>
  </si>
  <si>
    <t xml:space="preserve">Enterprise value at the current share price</t>
  </si>
  <si>
    <t xml:space="preserve">Market capitalisation plus net debt plus noncontrolling interest.</t>
  </si>
  <si>
    <t xml:space="preserve">Less: present value of Stage 1 free cash flows</t>
  </si>
  <si>
    <t xml:space="preserve">Implied present value of the terminal value</t>
  </si>
  <si>
    <t xml:space="preserve">Implied terminal value at end of FY2031</t>
  </si>
  <si>
    <t xml:space="preserve">Implied perpetual growth rate</t>
  </si>
  <si>
    <t xml:space="preserve">g solving TV = FCF x (1+g) / (r - g).</t>
  </si>
  <si>
    <t xml:space="preserve">Implied exit EV / EBITDA multiple</t>
  </si>
  <si>
    <t xml:space="preserve">Versus c.20x today and the 12x assumed on the DCF sheet.</t>
  </si>
  <si>
    <t xml:space="preserve">Memo: terminal growth rate assumed in the DCF</t>
  </si>
  <si>
    <t xml:space="preserve">If the implied growth rate exceeds long-run nominal GDP growth (c.4%), the market is assuming permanently faster growth, wider margins, or lower capital intensity than the Stage 1 forecast.</t>
  </si>
  <si>
    <t xml:space="preserve">VALUE PER SHARE VERSUS ASSET INTENSITY (k)</t>
  </si>
  <si>
    <t xml:space="preserve">Depreciation cancels out of free cash flow. Substituting the residual, capex less depreciation is just the change in the PP&amp;E balance, so FCF = NOPAT - increase in PP&amp;E + non-cash additions - increase in working capital. The k ratio therefore drives fixed-capital cash flow on its own; the depreciation rate d only matters through EBIT and tax. WMT has run k from 16.2% up to 17.7% and the base case holds it at 19.0%.</t>
  </si>
  <si>
    <t xml:space="preserve">Free cash flow at each asset-intensity assumption</t>
  </si>
  <si>
    <t xml:space="preserve">k</t>
  </si>
  <si>
    <t xml:space="preserve">Value per share</t>
  </si>
  <si>
    <t xml:space="preserve">Back to the FY2025 level</t>
  </si>
  <si>
    <t xml:space="preserve">Partial unwind of the build-out</t>
  </si>
  <si>
    <t xml:space="preserve">Base case: intensity holds at the current level</t>
  </si>
  <si>
    <t xml:space="preserve">Intensity keeps rising</t>
  </si>
  <si>
    <t xml:space="preserve">The build-out continues at the recent pace</t>
  </si>
  <si>
    <t xml:space="preserve">Uses the base-case WACC and terminal growth. A higher k means more plant per dollar of sales, higher capital expenditure, and less free cash flow.</t>
  </si>
</sst>
</file>

<file path=xl/styles.xml><?xml version="1.0" encoding="utf-8"?>
<styleSheet xmlns="http://schemas.openxmlformats.org/spreadsheetml/2006/main">
  <numFmts count="9">
    <numFmt numFmtId="164" formatCode="General"/>
    <numFmt numFmtId="165" formatCode="#,##0;\(#,##0\);\-"/>
    <numFmt numFmtId="166" formatCode="#,##0"/>
    <numFmt numFmtId="167" formatCode="\$#,##0.00"/>
    <numFmt numFmtId="168" formatCode="0.0%"/>
    <numFmt numFmtId="169" formatCode="0.00%"/>
    <numFmt numFmtId="170" formatCode="0.0\x"/>
    <numFmt numFmtId="171" formatCode="0.0"/>
    <numFmt numFmtId="172" formatCode="0.000"/>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95959"/>
      <name val="Arial"/>
      <family val="0"/>
      <charset val="1"/>
    </font>
    <font>
      <b val="true"/>
      <sz val="10"/>
      <name val="Arial"/>
      <family val="0"/>
      <charset val="1"/>
    </font>
    <font>
      <b val="true"/>
      <u val="single"/>
      <sz val="10"/>
      <name val="Arial"/>
      <family val="0"/>
      <charset val="1"/>
    </font>
    <font>
      <sz val="10"/>
      <name val="Arial"/>
      <family val="0"/>
      <charset val="1"/>
    </font>
    <font>
      <sz val="10"/>
      <color rgb="FF008000"/>
      <name val="Arial"/>
      <family val="0"/>
      <charset val="1"/>
    </font>
    <font>
      <i val="true"/>
      <sz val="8"/>
      <color rgb="FF808080"/>
      <name val="Arial"/>
      <family val="0"/>
      <charset val="1"/>
    </font>
    <font>
      <b val="true"/>
      <sz val="10"/>
      <color rgb="FFFFFFFF"/>
      <name val="Arial"/>
      <family val="0"/>
      <charset val="1"/>
    </font>
    <font>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D9E1F2"/>
        <bgColor rgb="FFCCFFFF"/>
      </patternFill>
    </fill>
    <fill>
      <patternFill patternType="solid">
        <fgColor rgb="FFFFFF00"/>
        <bgColor rgb="FFFFFF00"/>
      </patternFill>
    </fill>
  </fills>
  <borders count="3">
    <border diagonalUp="false" diagonalDown="false">
      <left/>
      <right/>
      <top/>
      <bottom/>
      <diagonal/>
    </border>
    <border diagonalUp="false" diagonalDown="false">
      <left/>
      <right/>
      <top style="thin"/>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6" fillId="4"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6" fillId="0" borderId="2" xfId="0" applyFont="true" applyBorder="tru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69" fontId="6" fillId="4"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center"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72" fontId="12" fillId="0" borderId="0" xfId="0" applyFont="true" applyBorder="fals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9" fontId="6" fillId="4" borderId="2" xfId="0" applyFont="true" applyBorder="true" applyAlignment="false" applyProtection="false">
      <alignment horizontal="general" vertical="bottom" textRotation="0" wrapText="false" indent="0" shrinkToFit="false"/>
      <protection locked="true" hidden="false"/>
    </xf>
    <xf numFmtId="168" fontId="12" fillId="4" borderId="0" xfId="0" applyFont="true" applyBorder="false" applyAlignment="false" applyProtection="false">
      <alignment horizontal="general" vertical="bottom" textRotation="0" wrapText="false" indent="0" shrinkToFit="false"/>
      <protection locked="true" hidden="false"/>
    </xf>
    <xf numFmtId="169" fontId="12" fillId="4" borderId="0" xfId="0" applyFont="true" applyBorder="false" applyAlignment="false" applyProtection="false">
      <alignment horizontal="general" vertical="bottom" textRotation="0" wrapText="false" indent="0" shrinkToFit="false"/>
      <protection locked="true" hidden="false"/>
    </xf>
    <xf numFmtId="165" fontId="12" fillId="4"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0" fontId="12" fillId="4"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6" fillId="4" borderId="2"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center" vertical="bottom" textRotation="0" wrapText="false" indent="0" shrinkToFit="false"/>
      <protection locked="true" hidden="false"/>
    </xf>
    <xf numFmtId="169" fontId="11" fillId="2" borderId="0" xfId="0" applyFont="tru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9" fontId="6" fillId="4" borderId="1" xfId="0" applyFont="true" applyBorder="true" applyAlignment="false" applyProtection="false">
      <alignment horizontal="general" vertical="bottom" textRotation="0" wrapText="false" indent="0" shrinkToFit="false"/>
      <protection locked="true" hidden="false"/>
    </xf>
    <xf numFmtId="170" fontId="6" fillId="4"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2" borderId="0" xfId="0" applyFont="true" applyBorder="false" applyAlignment="true" applyProtection="false">
      <alignment horizontal="center" vertical="bottom" textRotation="0" wrapText="true" indent="0" shrinkToFit="false"/>
      <protection locked="true" hidden="false"/>
    </xf>
    <xf numFmtId="169" fontId="12" fillId="4" borderId="0" xfId="0" applyFont="true" applyBorder="false" applyAlignment="true" applyProtection="false">
      <alignment horizontal="center" vertical="bottom" textRotation="0" wrapText="false" indent="0" shrinkToFit="false"/>
      <protection locked="true" hidden="false"/>
    </xf>
    <xf numFmtId="167" fontId="6"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D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4"/>
    <col collapsed="false" customWidth="true" hidden="false" outlineLevel="0" max="3" min="2" style="0" width="16"/>
    <col collapsed="false" customWidth="true" hidden="false" outlineLevel="0" max="4" min="4" style="0" width="54"/>
  </cols>
  <sheetData>
    <row r="1" customFormat="false" ht="21.75" hidden="false" customHeight="true" outlineLevel="0" collapsed="false">
      <c r="A1" s="1" t="s">
        <v>0</v>
      </c>
      <c r="B1" s="2"/>
      <c r="C1" s="2"/>
      <c r="D1" s="2"/>
    </row>
    <row r="2" customFormat="false" ht="15" hidden="false" customHeight="false" outlineLevel="0" collapsed="false">
      <c r="A2" s="3" t="s">
        <v>1</v>
      </c>
    </row>
    <row r="4" customFormat="false" ht="15" hidden="false" customHeight="false" outlineLevel="0" collapsed="false">
      <c r="A4" s="4" t="s">
        <v>2</v>
      </c>
      <c r="B4" s="5"/>
      <c r="C4" s="5"/>
      <c r="D4" s="5"/>
    </row>
    <row r="5" customFormat="false" ht="15" hidden="false" customHeight="false" outlineLevel="0" collapsed="false">
      <c r="B5" s="6" t="s">
        <v>3</v>
      </c>
      <c r="C5" s="6" t="s">
        <v>4</v>
      </c>
    </row>
    <row r="6" customFormat="false" ht="15" hidden="false" customHeight="false" outlineLevel="0" collapsed="false">
      <c r="A6" s="7" t="s">
        <v>5</v>
      </c>
      <c r="B6" s="8" t="n">
        <f aca="false">DCF!C71</f>
        <v>474597.813047307</v>
      </c>
      <c r="C6" s="8" t="n">
        <f aca="false">DCF!D71</f>
        <v>554571.333751148</v>
      </c>
    </row>
    <row r="7" customFormat="false" ht="15" hidden="false" customHeight="false" outlineLevel="0" collapsed="false">
      <c r="A7" s="7" t="s">
        <v>6</v>
      </c>
      <c r="B7" s="8" t="n">
        <f aca="false">SUM(DCF!C72:C75)</f>
        <v>-49805</v>
      </c>
      <c r="C7" s="8" t="n">
        <f aca="false">SUM(DCF!D72:D75)</f>
        <v>-49805</v>
      </c>
    </row>
    <row r="8" customFormat="false" ht="15" hidden="false" customHeight="false" outlineLevel="0" collapsed="false">
      <c r="A8" s="9" t="s">
        <v>7</v>
      </c>
      <c r="B8" s="10" t="n">
        <f aca="false">DCF!C76</f>
        <v>424792.813047307</v>
      </c>
      <c r="C8" s="10" t="n">
        <f aca="false">DCF!D76</f>
        <v>504766.333751148</v>
      </c>
    </row>
    <row r="9" customFormat="false" ht="15" hidden="false" customHeight="false" outlineLevel="0" collapsed="false">
      <c r="A9" s="7" t="s">
        <v>8</v>
      </c>
      <c r="B9" s="11" t="n">
        <f aca="false">DCF!C77</f>
        <v>8022</v>
      </c>
      <c r="C9" s="11" t="n">
        <f aca="false">DCF!D77</f>
        <v>8022</v>
      </c>
    </row>
    <row r="10" customFormat="false" ht="15" hidden="false" customHeight="false" outlineLevel="0" collapsed="false">
      <c r="A10" s="9" t="s">
        <v>9</v>
      </c>
      <c r="B10" s="12" t="n">
        <f aca="false">DCF!C78</f>
        <v>52.9534795621176</v>
      </c>
      <c r="C10" s="12" t="n">
        <f aca="false">DCF!D78</f>
        <v>62.9227541449948</v>
      </c>
      <c r="D10" s="13" t="s">
        <v>10</v>
      </c>
    </row>
    <row r="11" customFormat="false" ht="15" hidden="false" customHeight="false" outlineLevel="0" collapsed="false">
      <c r="A11" s="7" t="s">
        <v>11</v>
      </c>
      <c r="B11" s="14" t="n">
        <f aca="false">WACC!B5</f>
        <v>108.09</v>
      </c>
      <c r="C11" s="14" t="n">
        <f aca="false">WACC!B5</f>
        <v>108.09</v>
      </c>
    </row>
    <row r="12" customFormat="false" ht="15" hidden="false" customHeight="false" outlineLevel="0" collapsed="false">
      <c r="A12" s="9" t="s">
        <v>12</v>
      </c>
      <c r="B12" s="15" t="n">
        <f aca="false">DCF!C81</f>
        <v>-0.51009825550821</v>
      </c>
      <c r="C12" s="15" t="n">
        <f aca="false">DCF!D81</f>
        <v>-0.417867016884127</v>
      </c>
    </row>
    <row r="14" customFormat="false" ht="15" hidden="false" customHeight="false" outlineLevel="0" collapsed="false">
      <c r="A14" s="4" t="s">
        <v>13</v>
      </c>
      <c r="B14" s="5"/>
      <c r="C14" s="5"/>
      <c r="D14" s="5"/>
    </row>
    <row r="15" customFormat="false" ht="15" hidden="false" customHeight="false" outlineLevel="0" collapsed="false">
      <c r="A15" s="7" t="s">
        <v>14</v>
      </c>
      <c r="B15" s="16" t="n">
        <f aca="false">WACC!B33</f>
        <v>0.0772233329147349</v>
      </c>
      <c r="D15" s="13" t="s">
        <v>15</v>
      </c>
    </row>
    <row r="16" customFormat="false" ht="15" hidden="false" customHeight="false" outlineLevel="0" collapsed="false">
      <c r="A16" s="7" t="s">
        <v>16</v>
      </c>
      <c r="B16" s="17" t="n">
        <f aca="false">DCF!C59</f>
        <v>0.03</v>
      </c>
      <c r="D16" s="13" t="s">
        <v>17</v>
      </c>
    </row>
    <row r="17" customFormat="false" ht="15" hidden="false" customHeight="false" outlineLevel="0" collapsed="false">
      <c r="A17" s="7" t="s">
        <v>18</v>
      </c>
      <c r="B17" s="16" t="n">
        <f aca="false">DCF!C10</f>
        <v>0.19</v>
      </c>
      <c r="D17" s="13" t="s">
        <v>19</v>
      </c>
    </row>
    <row r="18" customFormat="false" ht="15" hidden="false" customHeight="false" outlineLevel="0" collapsed="false">
      <c r="A18" s="7" t="s">
        <v>20</v>
      </c>
      <c r="B18" s="16" t="n">
        <f aca="false">DCF!C11</f>
        <v>0.112</v>
      </c>
      <c r="D18" s="13" t="s">
        <v>21</v>
      </c>
    </row>
    <row r="19" customFormat="false" ht="15" hidden="false" customHeight="false" outlineLevel="0" collapsed="false">
      <c r="A19" s="7" t="s">
        <v>22</v>
      </c>
      <c r="B19" s="16" t="n">
        <f aca="false">DCF!C13</f>
        <v>-0.0275</v>
      </c>
      <c r="D19" s="13" t="s">
        <v>23</v>
      </c>
    </row>
    <row r="20" customFormat="false" ht="15" hidden="false" customHeight="false" outlineLevel="0" collapsed="false">
      <c r="A20" s="7" t="s">
        <v>24</v>
      </c>
      <c r="B20" s="16" t="n">
        <f aca="false">DCF!G8</f>
        <v>0.044</v>
      </c>
      <c r="D20" s="13" t="s">
        <v>25</v>
      </c>
    </row>
    <row r="21" customFormat="false" ht="15" hidden="false" customHeight="false" outlineLevel="0" collapsed="false">
      <c r="A21" s="7" t="s">
        <v>26</v>
      </c>
      <c r="B21" s="16" t="n">
        <f aca="false">AVERAGE(DCF!C29:G29)</f>
        <v>0.025947004716562</v>
      </c>
      <c r="D21" s="13" t="s">
        <v>27</v>
      </c>
    </row>
    <row r="23" customFormat="false" ht="15" hidden="false" customHeight="false" outlineLevel="0" collapsed="false">
      <c r="A23" s="4" t="s">
        <v>28</v>
      </c>
      <c r="B23" s="5"/>
      <c r="C23" s="5"/>
      <c r="D23" s="5"/>
    </row>
    <row r="24" customFormat="false" ht="15" hidden="false" customHeight="false" outlineLevel="0" collapsed="false">
      <c r="A24" s="7" t="s">
        <v>29</v>
      </c>
      <c r="B24" s="8" t="n">
        <f aca="false">WACC!B12</f>
        <v>914456.98</v>
      </c>
    </row>
    <row r="25" customFormat="false" ht="15" hidden="false" customHeight="false" outlineLevel="0" collapsed="false">
      <c r="A25" s="7" t="s">
        <v>30</v>
      </c>
      <c r="B25" s="18" t="n">
        <f aca="false">WACC!B12/Historicals!F14</f>
        <v>20.7698959752885</v>
      </c>
    </row>
    <row r="26" customFormat="false" ht="15" hidden="false" customHeight="false" outlineLevel="0" collapsed="false">
      <c r="A26" s="7" t="s">
        <v>31</v>
      </c>
      <c r="B26" s="18" t="n">
        <f aca="false">WACC!B5/Historicals!F24</f>
        <v>39.6061745763486</v>
      </c>
    </row>
    <row r="27" customFormat="false" ht="15" hidden="false" customHeight="false" outlineLevel="0" collapsed="false">
      <c r="A27" s="7" t="s">
        <v>32</v>
      </c>
      <c r="B27" s="18" t="n">
        <f aca="false">WACC!B12/Historicals!F71</f>
        <v>61.2783609193862</v>
      </c>
    </row>
    <row r="28" customFormat="false" ht="15" hidden="false" customHeight="false" outlineLevel="0" collapsed="false">
      <c r="A28" s="9" t="s">
        <v>33</v>
      </c>
      <c r="B28" s="19" t="n">
        <f aca="false">Sensitivity!B25</f>
        <v>0.0547371488240294</v>
      </c>
      <c r="D28" s="13" t="s">
        <v>34</v>
      </c>
    </row>
    <row r="30" customFormat="false" ht="15" hidden="false" customHeight="false" outlineLevel="0" collapsed="false">
      <c r="A30" s="4" t="s">
        <v>35</v>
      </c>
      <c r="B30" s="5"/>
      <c r="C30" s="5"/>
      <c r="D30" s="5"/>
    </row>
    <row r="31" customFormat="false" ht="33.75" hidden="false" customHeight="true" outlineLevel="0" collapsed="false">
      <c r="A31" s="20" t="s">
        <v>36</v>
      </c>
      <c r="B31" s="20"/>
      <c r="C31" s="20"/>
      <c r="D31" s="20"/>
    </row>
    <row r="32" customFormat="false" ht="33.75" hidden="false" customHeight="true" outlineLevel="0" collapsed="false">
      <c r="A32" s="20" t="s">
        <v>37</v>
      </c>
      <c r="B32" s="20"/>
      <c r="C32" s="20"/>
      <c r="D32" s="20"/>
    </row>
    <row r="33" customFormat="false" ht="33.75" hidden="false" customHeight="true" outlineLevel="0" collapsed="false">
      <c r="A33" s="20" t="s">
        <v>38</v>
      </c>
      <c r="B33" s="20"/>
      <c r="C33" s="20"/>
      <c r="D33" s="20"/>
    </row>
    <row r="34" customFormat="false" ht="33.75" hidden="false" customHeight="true" outlineLevel="0" collapsed="false">
      <c r="A34" s="20" t="s">
        <v>39</v>
      </c>
      <c r="B34" s="20"/>
      <c r="C34" s="20"/>
      <c r="D34" s="20"/>
    </row>
    <row r="35" customFormat="false" ht="33.75" hidden="false" customHeight="true" outlineLevel="0" collapsed="false">
      <c r="A35" s="20" t="s">
        <v>40</v>
      </c>
      <c r="B35" s="20"/>
      <c r="C35" s="20"/>
      <c r="D35" s="20"/>
    </row>
    <row r="36" customFormat="false" ht="33.75" hidden="false" customHeight="true" outlineLevel="0" collapsed="false">
      <c r="A36" s="20" t="s">
        <v>41</v>
      </c>
      <c r="B36" s="20"/>
      <c r="C36" s="20"/>
      <c r="D36" s="20"/>
    </row>
    <row r="37" customFormat="false" ht="33.75" hidden="false" customHeight="true" outlineLevel="0" collapsed="false">
      <c r="A37" s="20" t="s">
        <v>42</v>
      </c>
      <c r="B37" s="20"/>
      <c r="C37" s="20"/>
      <c r="D37" s="20"/>
    </row>
    <row r="38" customFormat="false" ht="33.75" hidden="false" customHeight="true" outlineLevel="0" collapsed="false">
      <c r="A38" s="20" t="s">
        <v>43</v>
      </c>
      <c r="B38" s="20"/>
      <c r="C38" s="20"/>
      <c r="D38" s="20"/>
    </row>
  </sheetData>
  <mergeCells count="8">
    <mergeCell ref="A31:D31"/>
    <mergeCell ref="A32:D32"/>
    <mergeCell ref="A33:D33"/>
    <mergeCell ref="A34:D34"/>
    <mergeCell ref="A35:D35"/>
    <mergeCell ref="A36:D36"/>
    <mergeCell ref="A37:D37"/>
    <mergeCell ref="A38:D3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 collapsed="false" customWidth="true" hidden="false" outlineLevel="0" max="6" min="2" style="0" width="12"/>
    <col collapsed="false" customWidth="true" hidden="false" outlineLevel="0" max="7" min="7" style="0" width="46"/>
  </cols>
  <sheetData>
    <row r="1" customFormat="false" ht="21.75" hidden="false" customHeight="true" outlineLevel="0" collapsed="false">
      <c r="A1" s="1" t="s">
        <v>44</v>
      </c>
      <c r="B1" s="2"/>
      <c r="C1" s="2"/>
      <c r="D1" s="2"/>
      <c r="E1" s="2"/>
      <c r="F1" s="2"/>
      <c r="G1" s="2"/>
    </row>
    <row r="2" customFormat="false" ht="15" hidden="false" customHeight="false" outlineLevel="0" collapsed="false">
      <c r="A2" s="3" t="s">
        <v>45</v>
      </c>
    </row>
    <row r="4" customFormat="false" ht="15" hidden="false" customHeight="false" outlineLevel="0" collapsed="false">
      <c r="A4" s="21" t="s">
        <v>46</v>
      </c>
      <c r="B4" s="22" t="s">
        <v>47</v>
      </c>
      <c r="C4" s="22" t="s">
        <v>48</v>
      </c>
      <c r="D4" s="22" t="s">
        <v>49</v>
      </c>
      <c r="E4" s="22" t="s">
        <v>50</v>
      </c>
      <c r="F4" s="22" t="s">
        <v>51</v>
      </c>
      <c r="G4" s="21" t="s">
        <v>52</v>
      </c>
    </row>
    <row r="6" customFormat="false" ht="15" hidden="false" customHeight="false" outlineLevel="0" collapsed="false">
      <c r="A6" s="4" t="s">
        <v>53</v>
      </c>
      <c r="B6" s="5"/>
      <c r="C6" s="5"/>
      <c r="D6" s="5"/>
      <c r="E6" s="5"/>
      <c r="F6" s="5"/>
      <c r="G6" s="5"/>
    </row>
    <row r="7" customFormat="false" ht="15" hidden="false" customHeight="false" outlineLevel="0" collapsed="false">
      <c r="A7" s="7" t="s">
        <v>54</v>
      </c>
      <c r="B7" s="23" t="n">
        <v>572754</v>
      </c>
      <c r="C7" s="23" t="n">
        <v>611289</v>
      </c>
      <c r="D7" s="23" t="n">
        <v>648125</v>
      </c>
      <c r="E7" s="23" t="n">
        <v>680985</v>
      </c>
      <c r="F7" s="23" t="n">
        <v>713163</v>
      </c>
      <c r="G7" s="13" t="s">
        <v>55</v>
      </c>
    </row>
    <row r="8" customFormat="false" ht="15" hidden="false" customHeight="false" outlineLevel="0" collapsed="false">
      <c r="A8" s="7" t="s">
        <v>56</v>
      </c>
      <c r="B8" s="23" t="n">
        <v>429000</v>
      </c>
      <c r="C8" s="23" t="n">
        <v>463721</v>
      </c>
      <c r="D8" s="23" t="n">
        <v>490142</v>
      </c>
      <c r="E8" s="23" t="n">
        <v>511753</v>
      </c>
      <c r="F8" s="23" t="n">
        <v>535395</v>
      </c>
      <c r="G8" s="13" t="s">
        <v>55</v>
      </c>
    </row>
    <row r="9" customFormat="false" ht="15" hidden="false" customHeight="false" outlineLevel="0" collapsed="false">
      <c r="A9" s="9" t="s">
        <v>57</v>
      </c>
      <c r="B9" s="10" t="n">
        <f aca="false">B7-B8</f>
        <v>143754</v>
      </c>
      <c r="C9" s="10" t="n">
        <f aca="false">C7-C8</f>
        <v>147568</v>
      </c>
      <c r="D9" s="10" t="n">
        <f aca="false">D7-D8</f>
        <v>157983</v>
      </c>
      <c r="E9" s="10" t="n">
        <f aca="false">E7-E8</f>
        <v>169232</v>
      </c>
      <c r="F9" s="10" t="n">
        <f aca="false">F7-F8</f>
        <v>177768</v>
      </c>
    </row>
    <row r="10" customFormat="false" ht="15" hidden="false" customHeight="false" outlineLevel="0" collapsed="false">
      <c r="A10" s="7" t="s">
        <v>58</v>
      </c>
      <c r="B10" s="23" t="n">
        <v>117812</v>
      </c>
      <c r="C10" s="23" t="n">
        <v>127140</v>
      </c>
      <c r="D10" s="23" t="n">
        <v>130971</v>
      </c>
      <c r="E10" s="23" t="n">
        <v>139884</v>
      </c>
      <c r="F10" s="23" t="n">
        <v>147943</v>
      </c>
      <c r="G10" s="13" t="s">
        <v>55</v>
      </c>
    </row>
    <row r="11" customFormat="false" ht="15" hidden="false" customHeight="false" outlineLevel="0" collapsed="false">
      <c r="A11" s="9" t="s">
        <v>59</v>
      </c>
      <c r="B11" s="10" t="n">
        <f aca="false">B9-B10</f>
        <v>25942</v>
      </c>
      <c r="C11" s="10" t="n">
        <f aca="false">C9-C10</f>
        <v>20428</v>
      </c>
      <c r="D11" s="10" t="n">
        <f aca="false">D9-D10</f>
        <v>27012</v>
      </c>
      <c r="E11" s="10" t="n">
        <f aca="false">E9-E10</f>
        <v>29348</v>
      </c>
      <c r="F11" s="10" t="n">
        <f aca="false">F9-F10</f>
        <v>29825</v>
      </c>
    </row>
    <row r="13" customFormat="false" ht="15" hidden="false" customHeight="false" outlineLevel="0" collapsed="false">
      <c r="A13" s="24" t="s">
        <v>60</v>
      </c>
      <c r="B13" s="23" t="n">
        <v>10658</v>
      </c>
      <c r="C13" s="23" t="n">
        <v>10945</v>
      </c>
      <c r="D13" s="23" t="n">
        <v>11853</v>
      </c>
      <c r="E13" s="23" t="n">
        <v>12973</v>
      </c>
      <c r="F13" s="23" t="n">
        <v>14203</v>
      </c>
      <c r="G13" s="13" t="s">
        <v>55</v>
      </c>
    </row>
    <row r="14" customFormat="false" ht="15" hidden="false" customHeight="false" outlineLevel="0" collapsed="false">
      <c r="A14" s="9" t="s">
        <v>61</v>
      </c>
      <c r="B14" s="10" t="n">
        <f aca="false">B11+B13</f>
        <v>36600</v>
      </c>
      <c r="C14" s="10" t="n">
        <f aca="false">C11+C13</f>
        <v>31373</v>
      </c>
      <c r="D14" s="10" t="n">
        <f aca="false">D11+D13</f>
        <v>38865</v>
      </c>
      <c r="E14" s="10" t="n">
        <f aca="false">E11+E13</f>
        <v>42321</v>
      </c>
      <c r="F14" s="10" t="n">
        <f aca="false">F11+F13</f>
        <v>44028</v>
      </c>
    </row>
    <row r="16" customFormat="false" ht="15" hidden="false" customHeight="false" outlineLevel="0" collapsed="false">
      <c r="A16" s="7" t="s">
        <v>62</v>
      </c>
      <c r="B16" s="23" t="n">
        <v>1674</v>
      </c>
      <c r="C16" s="23" t="n">
        <v>2128</v>
      </c>
      <c r="D16" s="23" t="n">
        <v>2683</v>
      </c>
      <c r="E16" s="23" t="n">
        <v>2728</v>
      </c>
      <c r="F16" s="23" t="n">
        <v>2799</v>
      </c>
      <c r="G16" s="13" t="s">
        <v>55</v>
      </c>
    </row>
    <row r="17" customFormat="false" ht="15" hidden="false" customHeight="false" outlineLevel="0" collapsed="false">
      <c r="A17" s="7" t="s">
        <v>63</v>
      </c>
      <c r="B17" s="23" t="n">
        <v>-5572</v>
      </c>
      <c r="C17" s="23" t="n">
        <v>-1284</v>
      </c>
      <c r="D17" s="23" t="n">
        <v>-2481</v>
      </c>
      <c r="E17" s="23" t="n">
        <v>-311</v>
      </c>
      <c r="F17" s="23" t="n">
        <v>2443</v>
      </c>
      <c r="G17" s="13" t="s">
        <v>55</v>
      </c>
    </row>
    <row r="18" customFormat="false" ht="15" hidden="false" customHeight="false" outlineLevel="0" collapsed="false">
      <c r="A18" s="9" t="s">
        <v>64</v>
      </c>
      <c r="B18" s="10" t="n">
        <f aca="false">B11-B16+B17</f>
        <v>18696</v>
      </c>
      <c r="C18" s="10" t="n">
        <f aca="false">C11-C16+C17</f>
        <v>17016</v>
      </c>
      <c r="D18" s="10" t="n">
        <f aca="false">D11-D16+D17</f>
        <v>21848</v>
      </c>
      <c r="E18" s="10" t="n">
        <f aca="false">E11-E16+E17</f>
        <v>26309</v>
      </c>
      <c r="F18" s="10" t="n">
        <f aca="false">F11-F16+F17</f>
        <v>29469</v>
      </c>
    </row>
    <row r="19" customFormat="false" ht="15" hidden="false" customHeight="false" outlineLevel="0" collapsed="false">
      <c r="A19" s="7" t="s">
        <v>65</v>
      </c>
      <c r="B19" s="23" t="n">
        <v>4756</v>
      </c>
      <c r="C19" s="23" t="n">
        <v>5724</v>
      </c>
      <c r="D19" s="23" t="n">
        <v>5578</v>
      </c>
      <c r="E19" s="23" t="n">
        <v>6152</v>
      </c>
      <c r="F19" s="23" t="n">
        <v>7199</v>
      </c>
      <c r="G19" s="13" t="s">
        <v>55</v>
      </c>
    </row>
    <row r="20" customFormat="false" ht="15" hidden="false" customHeight="false" outlineLevel="0" collapsed="false">
      <c r="A20" s="9" t="s">
        <v>66</v>
      </c>
      <c r="B20" s="10" t="n">
        <f aca="false">B18-B19</f>
        <v>13940</v>
      </c>
      <c r="C20" s="10" t="n">
        <f aca="false">C18-C19</f>
        <v>11292</v>
      </c>
      <c r="D20" s="10" t="n">
        <f aca="false">D18-D19</f>
        <v>16270</v>
      </c>
      <c r="E20" s="10" t="n">
        <f aca="false">E18-E19</f>
        <v>20157</v>
      </c>
      <c r="F20" s="10" t="n">
        <f aca="false">F18-F19</f>
        <v>22270</v>
      </c>
    </row>
    <row r="21" customFormat="false" ht="15" hidden="false" customHeight="false" outlineLevel="0" collapsed="false">
      <c r="A21" s="7" t="s">
        <v>67</v>
      </c>
      <c r="B21" s="23" t="n">
        <v>267</v>
      </c>
      <c r="C21" s="23" t="n">
        <v>-388</v>
      </c>
      <c r="D21" s="23" t="n">
        <v>759</v>
      </c>
      <c r="E21" s="23" t="n">
        <v>721</v>
      </c>
      <c r="F21" s="23" t="n">
        <v>377</v>
      </c>
      <c r="G21" s="13" t="s">
        <v>55</v>
      </c>
    </row>
    <row r="22" customFormat="false" ht="15" hidden="false" customHeight="false" outlineLevel="0" collapsed="false">
      <c r="A22" s="9" t="s">
        <v>68</v>
      </c>
      <c r="B22" s="10" t="n">
        <f aca="false">B20-B21</f>
        <v>13673</v>
      </c>
      <c r="C22" s="10" t="n">
        <f aca="false">C20-C21</f>
        <v>11680</v>
      </c>
      <c r="D22" s="10" t="n">
        <f aca="false">D20-D21</f>
        <v>15511</v>
      </c>
      <c r="E22" s="10" t="n">
        <f aca="false">E20-E21</f>
        <v>19436</v>
      </c>
      <c r="F22" s="10" t="n">
        <f aca="false">F20-F21</f>
        <v>21893</v>
      </c>
    </row>
    <row r="23" customFormat="false" ht="15" hidden="false" customHeight="false" outlineLevel="0" collapsed="false">
      <c r="A23" s="7" t="s">
        <v>69</v>
      </c>
      <c r="B23" s="23" t="n">
        <v>8415</v>
      </c>
      <c r="C23" s="23" t="n">
        <v>8202</v>
      </c>
      <c r="D23" s="23" t="n">
        <v>8109</v>
      </c>
      <c r="E23" s="23" t="n">
        <v>8081</v>
      </c>
      <c r="F23" s="23" t="n">
        <v>8022</v>
      </c>
      <c r="G23" s="13" t="s">
        <v>70</v>
      </c>
    </row>
    <row r="24" customFormat="false" ht="15" hidden="false" customHeight="false" outlineLevel="0" collapsed="false">
      <c r="A24" s="7" t="s">
        <v>71</v>
      </c>
      <c r="B24" s="25" t="n">
        <f aca="false">B22/B23</f>
        <v>1.62483660130719</v>
      </c>
      <c r="C24" s="25" t="n">
        <f aca="false">C22/C23</f>
        <v>1.42404291636186</v>
      </c>
      <c r="D24" s="25" t="n">
        <f aca="false">D22/D23</f>
        <v>1.9128129239117</v>
      </c>
      <c r="E24" s="25" t="n">
        <f aca="false">E22/E23</f>
        <v>2.4051478777379</v>
      </c>
      <c r="F24" s="25" t="n">
        <f aca="false">F22/F23</f>
        <v>2.7291199202194</v>
      </c>
    </row>
    <row r="26" customFormat="false" ht="15" hidden="false" customHeight="false" outlineLevel="0" collapsed="false">
      <c r="A26" s="4" t="s">
        <v>72</v>
      </c>
      <c r="B26" s="5"/>
      <c r="C26" s="5"/>
      <c r="D26" s="5"/>
      <c r="E26" s="5"/>
      <c r="F26" s="5"/>
      <c r="G26" s="5"/>
    </row>
    <row r="27" customFormat="false" ht="15" hidden="false" customHeight="false" outlineLevel="0" collapsed="false">
      <c r="A27" s="7" t="s">
        <v>73</v>
      </c>
      <c r="B27" s="23" t="n">
        <v>14760</v>
      </c>
      <c r="C27" s="23" t="n">
        <v>8625</v>
      </c>
      <c r="D27" s="23" t="n">
        <v>9867</v>
      </c>
      <c r="E27" s="23" t="n">
        <v>9037</v>
      </c>
      <c r="F27" s="23" t="n">
        <v>10727</v>
      </c>
      <c r="G27" s="13" t="s">
        <v>55</v>
      </c>
    </row>
    <row r="28" customFormat="false" ht="15" hidden="false" customHeight="false" outlineLevel="0" collapsed="false">
      <c r="A28" s="7" t="s">
        <v>74</v>
      </c>
      <c r="B28" s="23" t="n">
        <v>8280</v>
      </c>
      <c r="C28" s="23" t="n">
        <v>7933</v>
      </c>
      <c r="D28" s="23" t="n">
        <v>8796</v>
      </c>
      <c r="E28" s="23" t="n">
        <v>9975</v>
      </c>
      <c r="F28" s="23" t="n">
        <v>11172</v>
      </c>
      <c r="G28" s="13" t="s">
        <v>55</v>
      </c>
    </row>
    <row r="29" customFormat="false" ht="15" hidden="false" customHeight="false" outlineLevel="0" collapsed="false">
      <c r="A29" s="7" t="s">
        <v>75</v>
      </c>
      <c r="B29" s="23" t="n">
        <v>56511</v>
      </c>
      <c r="C29" s="23" t="n">
        <v>56576</v>
      </c>
      <c r="D29" s="23" t="n">
        <v>54892</v>
      </c>
      <c r="E29" s="23" t="n">
        <v>56435</v>
      </c>
      <c r="F29" s="23" t="n">
        <v>58851</v>
      </c>
      <c r="G29" s="13" t="s">
        <v>55</v>
      </c>
    </row>
    <row r="30" customFormat="false" ht="15" hidden="false" customHeight="false" outlineLevel="0" collapsed="false">
      <c r="A30" s="7" t="s">
        <v>76</v>
      </c>
      <c r="B30" s="23" t="n">
        <v>1519</v>
      </c>
      <c r="C30" s="23" t="n">
        <v>2521</v>
      </c>
      <c r="D30" s="23" t="n">
        <v>3322</v>
      </c>
      <c r="E30" s="23" t="n">
        <v>4011</v>
      </c>
      <c r="F30" s="23" t="n">
        <v>4124</v>
      </c>
      <c r="G30" s="13" t="s">
        <v>55</v>
      </c>
    </row>
    <row r="31" customFormat="false" ht="15" hidden="false" customHeight="false" outlineLevel="0" collapsed="false">
      <c r="A31" s="9" t="s">
        <v>77</v>
      </c>
      <c r="B31" s="10" t="n">
        <f aca="false">SUM(B27:B30)</f>
        <v>81070</v>
      </c>
      <c r="C31" s="10" t="n">
        <f aca="false">SUM(C27:C30)</f>
        <v>75655</v>
      </c>
      <c r="D31" s="10" t="n">
        <f aca="false">SUM(D27:D30)</f>
        <v>76877</v>
      </c>
      <c r="E31" s="10" t="n">
        <f aca="false">SUM(E27:E30)</f>
        <v>79458</v>
      </c>
      <c r="F31" s="10" t="n">
        <f aca="false">SUM(F27:F30)</f>
        <v>84874</v>
      </c>
    </row>
    <row r="32" customFormat="false" ht="15" hidden="false" customHeight="false" outlineLevel="0" collapsed="false">
      <c r="A32" s="7" t="s">
        <v>78</v>
      </c>
      <c r="B32" s="23" t="n">
        <v>98866</v>
      </c>
      <c r="C32" s="23" t="n">
        <v>105679</v>
      </c>
      <c r="D32" s="23" t="n">
        <v>116665</v>
      </c>
      <c r="E32" s="23" t="n">
        <v>126105</v>
      </c>
      <c r="F32" s="23" t="n">
        <v>142206</v>
      </c>
      <c r="G32" s="13" t="s">
        <v>79</v>
      </c>
    </row>
    <row r="33" customFormat="false" ht="15" hidden="false" customHeight="false" outlineLevel="0" collapsed="false">
      <c r="A33" s="7" t="s">
        <v>80</v>
      </c>
      <c r="B33" s="23" t="n">
        <v>13758</v>
      </c>
      <c r="C33" s="23" t="n">
        <v>13555</v>
      </c>
      <c r="D33" s="23" t="n">
        <v>13673</v>
      </c>
      <c r="E33" s="23" t="n">
        <v>13599</v>
      </c>
      <c r="F33" s="23" t="n">
        <v>14750</v>
      </c>
      <c r="G33" s="13" t="s">
        <v>81</v>
      </c>
    </row>
    <row r="34" customFormat="false" ht="15" hidden="false" customHeight="false" outlineLevel="0" collapsed="false">
      <c r="A34" s="7" t="s">
        <v>82</v>
      </c>
      <c r="B34" s="23" t="n">
        <v>29014</v>
      </c>
      <c r="C34" s="23" t="n">
        <v>28174</v>
      </c>
      <c r="D34" s="23" t="n">
        <v>28113</v>
      </c>
      <c r="E34" s="23" t="n">
        <v>28792</v>
      </c>
      <c r="F34" s="23" t="n">
        <v>28735</v>
      </c>
      <c r="G34" s="13" t="s">
        <v>55</v>
      </c>
    </row>
    <row r="35" customFormat="false" ht="15" hidden="false" customHeight="false" outlineLevel="0" collapsed="false">
      <c r="A35" s="7" t="s">
        <v>83</v>
      </c>
      <c r="B35" s="26" t="n">
        <f aca="false">B36-B31-B32-B33-B34</f>
        <v>22152</v>
      </c>
      <c r="C35" s="26" t="n">
        <f aca="false">C36-C31-C32-C33-C34</f>
        <v>20134</v>
      </c>
      <c r="D35" s="26" t="n">
        <f aca="false">D36-D31-D32-D33-D34</f>
        <v>17071</v>
      </c>
      <c r="E35" s="26" t="n">
        <f aca="false">E36-E31-E32-E33-E34</f>
        <v>12869</v>
      </c>
      <c r="F35" s="26" t="n">
        <f aca="false">F36-F31-F32-F33-F34</f>
        <v>14103</v>
      </c>
      <c r="G35" s="13" t="s">
        <v>84</v>
      </c>
    </row>
    <row r="36" customFormat="false" ht="15" hidden="false" customHeight="false" outlineLevel="0" collapsed="false">
      <c r="A36" s="9" t="s">
        <v>85</v>
      </c>
      <c r="B36" s="27" t="n">
        <v>244860</v>
      </c>
      <c r="C36" s="27" t="n">
        <v>243197</v>
      </c>
      <c r="D36" s="27" t="n">
        <v>252399</v>
      </c>
      <c r="E36" s="27" t="n">
        <v>260823</v>
      </c>
      <c r="F36" s="27" t="n">
        <v>284668</v>
      </c>
      <c r="G36" s="13" t="s">
        <v>55</v>
      </c>
    </row>
    <row r="38" customFormat="false" ht="15" hidden="false" customHeight="false" outlineLevel="0" collapsed="false">
      <c r="A38" s="7" t="s">
        <v>86</v>
      </c>
      <c r="B38" s="23" t="n">
        <v>55261</v>
      </c>
      <c r="C38" s="23" t="n">
        <v>53742</v>
      </c>
      <c r="D38" s="23" t="n">
        <v>56812</v>
      </c>
      <c r="E38" s="23" t="n">
        <v>58666</v>
      </c>
      <c r="F38" s="23" t="n">
        <v>63061</v>
      </c>
      <c r="G38" s="13" t="s">
        <v>55</v>
      </c>
    </row>
    <row r="39" customFormat="false" ht="15" hidden="false" customHeight="false" outlineLevel="0" collapsed="false">
      <c r="A39" s="7" t="s">
        <v>87</v>
      </c>
      <c r="B39" s="23" t="n">
        <v>26911</v>
      </c>
      <c r="C39" s="23" t="n">
        <v>31853</v>
      </c>
      <c r="D39" s="23" t="n">
        <v>29066</v>
      </c>
      <c r="E39" s="23" t="n">
        <v>29953</v>
      </c>
      <c r="F39" s="23" t="n">
        <v>31783</v>
      </c>
      <c r="G39" s="13" t="s">
        <v>55</v>
      </c>
    </row>
    <row r="40" customFormat="false" ht="15" hidden="false" customHeight="false" outlineLevel="0" collapsed="false">
      <c r="A40" s="7" t="s">
        <v>88</v>
      </c>
      <c r="B40" s="23" t="n">
        <v>3213</v>
      </c>
      <c r="C40" s="23" t="n">
        <v>4563</v>
      </c>
      <c r="D40" s="23" t="n">
        <v>4325</v>
      </c>
      <c r="E40" s="23" t="n">
        <v>5666</v>
      </c>
      <c r="F40" s="23" t="n">
        <v>10138</v>
      </c>
      <c r="G40" s="13" t="s">
        <v>81</v>
      </c>
    </row>
    <row r="41" customFormat="false" ht="15" hidden="false" customHeight="false" outlineLevel="0" collapsed="false">
      <c r="A41" s="7" t="s">
        <v>89</v>
      </c>
      <c r="B41" s="23" t="n">
        <v>511</v>
      </c>
      <c r="C41" s="23" t="n">
        <v>567</v>
      </c>
      <c r="D41" s="23" t="n">
        <v>725</v>
      </c>
      <c r="E41" s="23" t="n">
        <v>800</v>
      </c>
      <c r="F41" s="23" t="n">
        <v>856</v>
      </c>
      <c r="G41" s="13" t="s">
        <v>81</v>
      </c>
    </row>
    <row r="42" customFormat="false" ht="15" hidden="false" customHeight="false" outlineLevel="0" collapsed="false">
      <c r="A42" s="7" t="s">
        <v>90</v>
      </c>
      <c r="B42" s="23" t="n">
        <v>1483</v>
      </c>
      <c r="C42" s="23" t="n">
        <v>1473</v>
      </c>
      <c r="D42" s="23" t="n">
        <v>1487</v>
      </c>
      <c r="E42" s="23" t="n">
        <v>1499</v>
      </c>
      <c r="F42" s="23" t="n">
        <v>1631</v>
      </c>
      <c r="G42" s="13" t="s">
        <v>81</v>
      </c>
    </row>
    <row r="43" customFormat="false" ht="15" hidden="false" customHeight="false" outlineLevel="0" collapsed="false">
      <c r="A43" s="9" t="s">
        <v>91</v>
      </c>
      <c r="B43" s="10" t="n">
        <f aca="false">SUM(B38:B42)</f>
        <v>87379</v>
      </c>
      <c r="C43" s="10" t="n">
        <f aca="false">SUM(C38:C42)</f>
        <v>92198</v>
      </c>
      <c r="D43" s="10" t="n">
        <f aca="false">SUM(D38:D42)</f>
        <v>92415</v>
      </c>
      <c r="E43" s="10" t="n">
        <f aca="false">SUM(E38:E42)</f>
        <v>96584</v>
      </c>
      <c r="F43" s="10" t="n">
        <f aca="false">SUM(F38:F42)</f>
        <v>107469</v>
      </c>
    </row>
    <row r="44" customFormat="false" ht="15" hidden="false" customHeight="false" outlineLevel="0" collapsed="false">
      <c r="A44" s="7" t="s">
        <v>92</v>
      </c>
      <c r="B44" s="23" t="n">
        <v>34864</v>
      </c>
      <c r="C44" s="23" t="n">
        <v>34649</v>
      </c>
      <c r="D44" s="23" t="n">
        <v>36132</v>
      </c>
      <c r="E44" s="23" t="n">
        <v>33401</v>
      </c>
      <c r="F44" s="23" t="n">
        <v>34624</v>
      </c>
      <c r="G44" s="13" t="s">
        <v>81</v>
      </c>
    </row>
    <row r="45" customFormat="false" ht="15" hidden="false" customHeight="false" outlineLevel="0" collapsed="false">
      <c r="A45" s="7" t="s">
        <v>93</v>
      </c>
      <c r="B45" s="23" t="n">
        <v>4243</v>
      </c>
      <c r="C45" s="23" t="n">
        <v>4843</v>
      </c>
      <c r="D45" s="23" t="n">
        <v>5709</v>
      </c>
      <c r="E45" s="23" t="n">
        <v>5923</v>
      </c>
      <c r="F45" s="23" t="n">
        <v>5905</v>
      </c>
      <c r="G45" s="13" t="s">
        <v>81</v>
      </c>
    </row>
    <row r="46" customFormat="false" ht="15" hidden="false" customHeight="false" outlineLevel="0" collapsed="false">
      <c r="A46" s="7" t="s">
        <v>94</v>
      </c>
      <c r="B46" s="23" t="n">
        <v>13009</v>
      </c>
      <c r="C46" s="23" t="n">
        <v>12828</v>
      </c>
      <c r="D46" s="23" t="n">
        <v>12943</v>
      </c>
      <c r="E46" s="23" t="n">
        <v>12825</v>
      </c>
      <c r="F46" s="23" t="n">
        <v>13941</v>
      </c>
      <c r="G46" s="13" t="s">
        <v>81</v>
      </c>
    </row>
    <row r="47" customFormat="false" ht="15" hidden="false" customHeight="false" outlineLevel="0" collapsed="false">
      <c r="A47" s="7" t="s">
        <v>95</v>
      </c>
      <c r="B47" s="26" t="n">
        <f aca="false">B48-B43-B44-B45-B46</f>
        <v>13474</v>
      </c>
      <c r="C47" s="26" t="n">
        <f aca="false">C48-C43-C44-C45-C46</f>
        <v>14688</v>
      </c>
      <c r="D47" s="26" t="n">
        <f aca="false">D48-D43-D44-D45-D46</f>
        <v>14629</v>
      </c>
      <c r="E47" s="26" t="n">
        <f aca="false">E48-E43-E44-E45-E46</f>
        <v>14398</v>
      </c>
      <c r="F47" s="26" t="n">
        <f aca="false">F48-F43-F44-F45-F46</f>
        <v>16549</v>
      </c>
      <c r="G47" s="13" t="s">
        <v>96</v>
      </c>
    </row>
    <row r="48" customFormat="false" ht="15" hidden="false" customHeight="false" outlineLevel="0" collapsed="false">
      <c r="A48" s="9" t="s">
        <v>97</v>
      </c>
      <c r="B48" s="10" t="n">
        <f aca="false">B36-B49-B50</f>
        <v>152969</v>
      </c>
      <c r="C48" s="10" t="n">
        <f aca="false">C36-C49-C50</f>
        <v>159206</v>
      </c>
      <c r="D48" s="10" t="n">
        <f aca="false">D36-D49-D50</f>
        <v>161828</v>
      </c>
      <c r="E48" s="10" t="n">
        <f aca="false">E36-E49-E50</f>
        <v>163131</v>
      </c>
      <c r="F48" s="10" t="n">
        <f aca="false">F36-F49-F50</f>
        <v>178488</v>
      </c>
    </row>
    <row r="49" customFormat="false" ht="15" hidden="false" customHeight="false" outlineLevel="0" collapsed="false">
      <c r="A49" s="7" t="s">
        <v>98</v>
      </c>
      <c r="B49" s="23" t="n">
        <v>8638</v>
      </c>
      <c r="C49" s="23" t="n">
        <v>7298</v>
      </c>
      <c r="D49" s="23" t="n">
        <v>6710</v>
      </c>
      <c r="E49" s="23" t="n">
        <v>6679</v>
      </c>
      <c r="F49" s="23" t="n">
        <v>6563</v>
      </c>
      <c r="G49" s="13" t="s">
        <v>55</v>
      </c>
    </row>
    <row r="50" customFormat="false" ht="15" hidden="false" customHeight="false" outlineLevel="0" collapsed="false">
      <c r="A50" s="7" t="s">
        <v>99</v>
      </c>
      <c r="B50" s="23" t="n">
        <v>83253</v>
      </c>
      <c r="C50" s="23" t="n">
        <v>76693</v>
      </c>
      <c r="D50" s="23" t="n">
        <v>83861</v>
      </c>
      <c r="E50" s="23" t="n">
        <v>91013</v>
      </c>
      <c r="F50" s="23" t="n">
        <v>99617</v>
      </c>
      <c r="G50" s="13" t="s">
        <v>55</v>
      </c>
    </row>
    <row r="51" customFormat="false" ht="15" hidden="false" customHeight="false" outlineLevel="0" collapsed="false">
      <c r="A51" s="9" t="s">
        <v>100</v>
      </c>
      <c r="B51" s="10" t="n">
        <f aca="false">B48+B49+B50</f>
        <v>244860</v>
      </c>
      <c r="C51" s="10" t="n">
        <f aca="false">C48+C49+C50</f>
        <v>243197</v>
      </c>
      <c r="D51" s="10" t="n">
        <f aca="false">D48+D49+D50</f>
        <v>252399</v>
      </c>
      <c r="E51" s="10" t="n">
        <f aca="false">E48+E49+E50</f>
        <v>260823</v>
      </c>
      <c r="F51" s="10" t="n">
        <f aca="false">F48+F49+F50</f>
        <v>284668</v>
      </c>
    </row>
    <row r="52" customFormat="false" ht="15" hidden="false" customHeight="false" outlineLevel="0" collapsed="false">
      <c r="A52" s="24" t="s">
        <v>101</v>
      </c>
      <c r="B52" s="26" t="n">
        <f aca="false">B36-B51</f>
        <v>0</v>
      </c>
      <c r="C52" s="26" t="n">
        <f aca="false">C36-C51</f>
        <v>0</v>
      </c>
      <c r="D52" s="26" t="n">
        <f aca="false">D36-D51</f>
        <v>0</v>
      </c>
      <c r="E52" s="26" t="n">
        <f aca="false">E36-E51</f>
        <v>0</v>
      </c>
      <c r="F52" s="26" t="n">
        <f aca="false">F36-F51</f>
        <v>0</v>
      </c>
    </row>
    <row r="54" customFormat="false" ht="15" hidden="false" customHeight="false" outlineLevel="0" collapsed="false">
      <c r="A54" s="4" t="s">
        <v>102</v>
      </c>
      <c r="B54" s="5"/>
      <c r="C54" s="5"/>
      <c r="D54" s="5"/>
      <c r="E54" s="5"/>
      <c r="F54" s="5"/>
      <c r="G54" s="5"/>
    </row>
    <row r="55" customFormat="false" ht="15" hidden="false" customHeight="false" outlineLevel="0" collapsed="false">
      <c r="A55" s="9" t="s">
        <v>103</v>
      </c>
      <c r="B55" s="28" t="n">
        <f aca="false">B40+B41+B44+B45</f>
        <v>42831</v>
      </c>
      <c r="C55" s="28" t="n">
        <f aca="false">C40+C41+C44+C45</f>
        <v>44622</v>
      </c>
      <c r="D55" s="28" t="n">
        <f aca="false">D40+D41+D44+D45</f>
        <v>46891</v>
      </c>
      <c r="E55" s="28" t="n">
        <f aca="false">E40+E41+E44+E45</f>
        <v>45790</v>
      </c>
      <c r="F55" s="28" t="n">
        <f aca="false">F40+F41+F44+F45</f>
        <v>51523</v>
      </c>
      <c r="G55" s="13" t="s">
        <v>104</v>
      </c>
    </row>
    <row r="56" customFormat="false" ht="15" hidden="false" customHeight="false" outlineLevel="0" collapsed="false">
      <c r="A56" s="7" t="s">
        <v>105</v>
      </c>
      <c r="B56" s="26" t="n">
        <f aca="false">B55-B27</f>
        <v>28071</v>
      </c>
      <c r="C56" s="26" t="n">
        <f aca="false">C55-C27</f>
        <v>35997</v>
      </c>
      <c r="D56" s="26" t="n">
        <f aca="false">D55-D27</f>
        <v>37024</v>
      </c>
      <c r="E56" s="26" t="n">
        <f aca="false">E55-E27</f>
        <v>36753</v>
      </c>
      <c r="F56" s="26" t="n">
        <f aca="false">F55-F27</f>
        <v>40796</v>
      </c>
    </row>
    <row r="57" customFormat="false" ht="15" hidden="false" customHeight="false" outlineLevel="0" collapsed="false">
      <c r="A57" s="24" t="s">
        <v>106</v>
      </c>
      <c r="B57" s="26" t="n">
        <f aca="false">B42+B46</f>
        <v>14492</v>
      </c>
      <c r="C57" s="26" t="n">
        <f aca="false">C42+C46</f>
        <v>14301</v>
      </c>
      <c r="D57" s="26" t="n">
        <f aca="false">D42+D46</f>
        <v>14430</v>
      </c>
      <c r="E57" s="26" t="n">
        <f aca="false">E42+E46</f>
        <v>14324</v>
      </c>
      <c r="F57" s="26" t="n">
        <f aca="false">F42+F46</f>
        <v>15572</v>
      </c>
    </row>
    <row r="59" customFormat="false" ht="15" hidden="false" customHeight="false" outlineLevel="0" collapsed="false">
      <c r="A59" s="7" t="s">
        <v>107</v>
      </c>
      <c r="B59" s="26" t="n">
        <f aca="false">(B31-B27)-(B43-B40-B41-B42)</f>
        <v>-15862</v>
      </c>
      <c r="C59" s="26" t="n">
        <f aca="false">(C31-C27)-(C43-C40-C41-C42)</f>
        <v>-18565</v>
      </c>
      <c r="D59" s="26" t="n">
        <f aca="false">(D31-D27)-(D43-D40-D41-D42)</f>
        <v>-18868</v>
      </c>
      <c r="E59" s="26" t="n">
        <f aca="false">(E31-E27)-(E43-E40-E41-E42)</f>
        <v>-18198</v>
      </c>
      <c r="F59" s="26" t="n">
        <f aca="false">(F31-F27)-(F43-F40-F41-F42)</f>
        <v>-20697</v>
      </c>
      <c r="G59" s="13" t="s">
        <v>108</v>
      </c>
    </row>
    <row r="60" customFormat="false" ht="15" hidden="false" customHeight="false" outlineLevel="0" collapsed="false">
      <c r="A60" s="7" t="s">
        <v>109</v>
      </c>
      <c r="B60" s="26" t="n">
        <f aca="false">B32</f>
        <v>98866</v>
      </c>
      <c r="C60" s="26" t="n">
        <f aca="false">C32</f>
        <v>105679</v>
      </c>
      <c r="D60" s="26" t="n">
        <f aca="false">D32</f>
        <v>116665</v>
      </c>
      <c r="E60" s="26" t="n">
        <f aca="false">E32</f>
        <v>126105</v>
      </c>
      <c r="F60" s="26" t="n">
        <f aca="false">F32</f>
        <v>142206</v>
      </c>
    </row>
    <row r="61" customFormat="false" ht="15" hidden="false" customHeight="false" outlineLevel="0" collapsed="false">
      <c r="A61" s="7" t="s">
        <v>110</v>
      </c>
      <c r="B61" s="26" t="n">
        <f aca="false">B34</f>
        <v>29014</v>
      </c>
      <c r="C61" s="26" t="n">
        <f aca="false">C34</f>
        <v>28174</v>
      </c>
      <c r="D61" s="26" t="n">
        <f aca="false">D34</f>
        <v>28113</v>
      </c>
      <c r="E61" s="26" t="n">
        <f aca="false">E34</f>
        <v>28792</v>
      </c>
      <c r="F61" s="26" t="n">
        <f aca="false">F34</f>
        <v>28735</v>
      </c>
    </row>
    <row r="62" customFormat="false" ht="15" hidden="false" customHeight="false" outlineLevel="0" collapsed="false">
      <c r="A62" s="7" t="s">
        <v>111</v>
      </c>
      <c r="B62" s="26" t="n">
        <f aca="false">B33-B42-B46</f>
        <v>-734</v>
      </c>
      <c r="C62" s="26" t="n">
        <f aca="false">C33-C42-C46</f>
        <v>-746</v>
      </c>
      <c r="D62" s="26" t="n">
        <f aca="false">D33-D42-D46</f>
        <v>-757</v>
      </c>
      <c r="E62" s="26" t="n">
        <f aca="false">E33-E42-E46</f>
        <v>-725</v>
      </c>
      <c r="F62" s="26" t="n">
        <f aca="false">F33-F42-F46</f>
        <v>-822</v>
      </c>
    </row>
    <row r="63" customFormat="false" ht="15" hidden="false" customHeight="false" outlineLevel="0" collapsed="false">
      <c r="A63" s="7" t="s">
        <v>112</v>
      </c>
      <c r="B63" s="26" t="n">
        <f aca="false">B35-B47</f>
        <v>8678</v>
      </c>
      <c r="C63" s="26" t="n">
        <f aca="false">C35-C47</f>
        <v>5446</v>
      </c>
      <c r="D63" s="26" t="n">
        <f aca="false">D35-D47</f>
        <v>2442</v>
      </c>
      <c r="E63" s="26" t="n">
        <f aca="false">E35-E47</f>
        <v>-1529</v>
      </c>
      <c r="F63" s="26" t="n">
        <f aca="false">F35-F47</f>
        <v>-2446</v>
      </c>
    </row>
    <row r="64" customFormat="false" ht="15" hidden="false" customHeight="false" outlineLevel="0" collapsed="false">
      <c r="A64" s="9" t="s">
        <v>113</v>
      </c>
      <c r="B64" s="10" t="n">
        <f aca="false">SUM(B59:B63)</f>
        <v>119962</v>
      </c>
      <c r="C64" s="10" t="n">
        <f aca="false">SUM(C59:C63)</f>
        <v>119988</v>
      </c>
      <c r="D64" s="10" t="n">
        <f aca="false">SUM(D59:D63)</f>
        <v>127595</v>
      </c>
      <c r="E64" s="10" t="n">
        <f aca="false">SUM(E59:E63)</f>
        <v>134445</v>
      </c>
      <c r="F64" s="10" t="n">
        <f aca="false">SUM(F59:F63)</f>
        <v>146976</v>
      </c>
    </row>
    <row r="65" customFormat="false" ht="15" hidden="false" customHeight="false" outlineLevel="0" collapsed="false">
      <c r="A65" s="7" t="s">
        <v>114</v>
      </c>
      <c r="B65" s="26" t="n">
        <f aca="false">B56+B49+B50</f>
        <v>119962</v>
      </c>
      <c r="C65" s="26" t="n">
        <f aca="false">C56+C49+C50</f>
        <v>119988</v>
      </c>
      <c r="D65" s="26" t="n">
        <f aca="false">D56+D49+D50</f>
        <v>127595</v>
      </c>
      <c r="E65" s="26" t="n">
        <f aca="false">E56+E49+E50</f>
        <v>134445</v>
      </c>
      <c r="F65" s="26" t="n">
        <f aca="false">F56+F49+F50</f>
        <v>146976</v>
      </c>
    </row>
    <row r="66" customFormat="false" ht="15" hidden="false" customHeight="false" outlineLevel="0" collapsed="false">
      <c r="A66" s="24" t="s">
        <v>115</v>
      </c>
      <c r="B66" s="26" t="n">
        <f aca="false">B64-B65</f>
        <v>0</v>
      </c>
      <c r="C66" s="26" t="n">
        <f aca="false">C64-C65</f>
        <v>0</v>
      </c>
      <c r="D66" s="26" t="n">
        <f aca="false">D64-D65</f>
        <v>0</v>
      </c>
      <c r="E66" s="26" t="n">
        <f aca="false">E64-E65</f>
        <v>0</v>
      </c>
      <c r="F66" s="26" t="n">
        <f aca="false">F64-F65</f>
        <v>0</v>
      </c>
      <c r="G66" s="13" t="s">
        <v>116</v>
      </c>
    </row>
    <row r="68" customFormat="false" ht="15" hidden="false" customHeight="false" outlineLevel="0" collapsed="false">
      <c r="A68" s="4" t="s">
        <v>117</v>
      </c>
      <c r="B68" s="5"/>
      <c r="C68" s="5"/>
      <c r="D68" s="5"/>
      <c r="E68" s="5"/>
      <c r="F68" s="5"/>
      <c r="G68" s="5"/>
    </row>
    <row r="69" customFormat="false" ht="15" hidden="false" customHeight="false" outlineLevel="0" collapsed="false">
      <c r="A69" s="7" t="s">
        <v>118</v>
      </c>
      <c r="B69" s="23" t="n">
        <v>24181</v>
      </c>
      <c r="C69" s="23" t="n">
        <v>28841</v>
      </c>
      <c r="D69" s="23" t="n">
        <v>35726</v>
      </c>
      <c r="E69" s="23" t="n">
        <v>36443</v>
      </c>
      <c r="F69" s="23" t="n">
        <v>41565</v>
      </c>
      <c r="G69" s="13" t="s">
        <v>55</v>
      </c>
    </row>
    <row r="70" customFormat="false" ht="15" hidden="false" customHeight="false" outlineLevel="0" collapsed="false">
      <c r="A70" s="7" t="s">
        <v>119</v>
      </c>
      <c r="B70" s="23" t="n">
        <v>13106</v>
      </c>
      <c r="C70" s="23" t="n">
        <v>16857</v>
      </c>
      <c r="D70" s="23" t="n">
        <v>20606</v>
      </c>
      <c r="E70" s="23" t="n">
        <v>23783</v>
      </c>
      <c r="F70" s="23" t="n">
        <v>26642</v>
      </c>
      <c r="G70" s="13" t="s">
        <v>55</v>
      </c>
    </row>
    <row r="71" customFormat="false" ht="15" hidden="false" customHeight="false" outlineLevel="0" collapsed="false">
      <c r="A71" s="9" t="s">
        <v>120</v>
      </c>
      <c r="B71" s="10" t="n">
        <f aca="false">B69-B70</f>
        <v>11075</v>
      </c>
      <c r="C71" s="10" t="n">
        <f aca="false">C69-C70</f>
        <v>11984</v>
      </c>
      <c r="D71" s="10" t="n">
        <f aca="false">D69-D70</f>
        <v>15120</v>
      </c>
      <c r="E71" s="10" t="n">
        <f aca="false">E69-E70</f>
        <v>12660</v>
      </c>
      <c r="F71" s="10" t="n">
        <f aca="false">F69-F70</f>
        <v>14923</v>
      </c>
    </row>
    <row r="73" customFormat="false" ht="15" hidden="false" customHeight="false" outlineLevel="0" collapsed="false">
      <c r="A73" s="24" t="s">
        <v>121</v>
      </c>
      <c r="B73" s="29" t="s">
        <v>122</v>
      </c>
      <c r="C73" s="26" t="n">
        <f aca="false">C32-B32+C13</f>
        <v>17758</v>
      </c>
      <c r="D73" s="26" t="n">
        <f aca="false">D32-C32+D13</f>
        <v>22839</v>
      </c>
      <c r="E73" s="26" t="n">
        <f aca="false">E32-D32+E13</f>
        <v>22413</v>
      </c>
      <c r="F73" s="26" t="n">
        <f aca="false">F32-E32+F13</f>
        <v>30304</v>
      </c>
    </row>
    <row r="74" customFormat="false" ht="15" hidden="false" customHeight="false" outlineLevel="0" collapsed="false">
      <c r="A74" s="24" t="s">
        <v>123</v>
      </c>
      <c r="B74" s="29" t="s">
        <v>122</v>
      </c>
      <c r="C74" s="26" t="n">
        <f aca="false">C73-C70</f>
        <v>901</v>
      </c>
      <c r="D74" s="26" t="n">
        <f aca="false">D73-D70</f>
        <v>2233</v>
      </c>
      <c r="E74" s="26" t="n">
        <f aca="false">E73-E70</f>
        <v>-1370</v>
      </c>
      <c r="F74" s="26" t="n">
        <f aca="false">F73-F70</f>
        <v>3662</v>
      </c>
      <c r="G74" s="13" t="s">
        <v>124</v>
      </c>
    </row>
    <row r="76" customFormat="false" ht="15" hidden="false" customHeight="false" outlineLevel="0" collapsed="false">
      <c r="A76" s="13" t="s">
        <v>125</v>
      </c>
    </row>
    <row r="77" customFormat="false" ht="15" hidden="false" customHeight="false" outlineLevel="0" collapsed="false">
      <c r="A77" s="13" t="s">
        <v>126</v>
      </c>
    </row>
    <row r="78" customFormat="false" ht="15" hidden="false" customHeight="false" outlineLevel="0" collapsed="false">
      <c r="A78" s="13" t="s">
        <v>127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 collapsed="false" customWidth="true" hidden="false" outlineLevel="0" max="8" min="2" style="0" width="12"/>
    <col collapsed="false" customWidth="true" hidden="false" outlineLevel="0" max="9" min="9" style="0" width="46"/>
  </cols>
  <sheetData>
    <row r="1" customFormat="false" ht="21.75" hidden="false" customHeight="true" outlineLevel="0" collapsed="false">
      <c r="A1" s="1" t="s">
        <v>128</v>
      </c>
      <c r="B1" s="2"/>
      <c r="C1" s="2"/>
      <c r="D1" s="2"/>
      <c r="E1" s="2"/>
      <c r="F1" s="2"/>
      <c r="G1" s="2"/>
      <c r="H1" s="2"/>
      <c r="I1" s="2"/>
    </row>
    <row r="2" customFormat="false" ht="15" hidden="false" customHeight="false" outlineLevel="0" collapsed="false">
      <c r="A2" s="3" t="s">
        <v>129</v>
      </c>
    </row>
    <row r="4" customFormat="false" ht="15" hidden="false" customHeight="false" outlineLevel="0" collapsed="false">
      <c r="A4" s="21" t="s">
        <v>46</v>
      </c>
      <c r="B4" s="22" t="s">
        <v>47</v>
      </c>
      <c r="C4" s="22" t="s">
        <v>48</v>
      </c>
      <c r="D4" s="22" t="s">
        <v>49</v>
      </c>
      <c r="E4" s="22" t="s">
        <v>50</v>
      </c>
      <c r="F4" s="22" t="s">
        <v>51</v>
      </c>
      <c r="G4" s="22" t="s">
        <v>130</v>
      </c>
      <c r="H4" s="22" t="s">
        <v>131</v>
      </c>
      <c r="I4" s="21" t="s">
        <v>132</v>
      </c>
    </row>
    <row r="6" customFormat="false" ht="15" hidden="false" customHeight="false" outlineLevel="0" collapsed="false">
      <c r="A6" s="4" t="s">
        <v>133</v>
      </c>
      <c r="B6" s="5"/>
      <c r="C6" s="5"/>
      <c r="D6" s="5"/>
      <c r="E6" s="5"/>
      <c r="F6" s="5"/>
      <c r="G6" s="5"/>
      <c r="H6" s="5"/>
      <c r="I6" s="5"/>
    </row>
    <row r="7" customFormat="false" ht="15" hidden="false" customHeight="false" outlineLevel="0" collapsed="false">
      <c r="A7" s="7" t="s">
        <v>134</v>
      </c>
      <c r="B7" s="30" t="s">
        <v>122</v>
      </c>
      <c r="C7" s="17" t="n">
        <f aca="false">Historicals!C7/Historicals!B7-1</f>
        <v>0.0672801935909657</v>
      </c>
      <c r="D7" s="17" t="n">
        <f aca="false">Historicals!D7/Historicals!C7-1</f>
        <v>0.0602595499019285</v>
      </c>
      <c r="E7" s="17" t="n">
        <f aca="false">Historicals!E7/Historicals!D7-1</f>
        <v>0.0507000964320155</v>
      </c>
      <c r="F7" s="17" t="n">
        <f aca="false">Historicals!F7/Historicals!E7-1</f>
        <v>0.0472521421176677</v>
      </c>
      <c r="G7" s="31" t="n">
        <f aca="false">AVERAGE(C7:F7)</f>
        <v>0.0563729955106443</v>
      </c>
      <c r="H7" s="31" t="n">
        <f aca="false">AVERAGE(D7:F7)</f>
        <v>0.0527372628172039</v>
      </c>
      <c r="I7" s="13" t="s">
        <v>135</v>
      </c>
    </row>
    <row r="8" customFormat="false" ht="15" hidden="false" customHeight="false" outlineLevel="0" collapsed="false">
      <c r="A8" s="7" t="s">
        <v>136</v>
      </c>
      <c r="B8" s="30" t="s">
        <v>122</v>
      </c>
      <c r="C8" s="17" t="n">
        <f aca="false">Historicals!C14/Historicals!B14-1</f>
        <v>-0.142814207650273</v>
      </c>
      <c r="D8" s="17" t="n">
        <f aca="false">Historicals!D14/Historicals!C14-1</f>
        <v>0.238804067191534</v>
      </c>
      <c r="E8" s="17" t="n">
        <f aca="false">Historicals!E14/Historicals!D14-1</f>
        <v>0.0889231956773446</v>
      </c>
      <c r="F8" s="17" t="n">
        <f aca="false">Historicals!F14/Historicals!E14-1</f>
        <v>0.0403345856666904</v>
      </c>
      <c r="G8" s="31" t="n">
        <f aca="false">AVERAGE(C8:F8)</f>
        <v>0.056311910221324</v>
      </c>
      <c r="H8" s="31" t="n">
        <f aca="false">AVERAGE(D8:F8)</f>
        <v>0.12268728284519</v>
      </c>
    </row>
    <row r="9" customFormat="false" ht="15" hidden="false" customHeight="false" outlineLevel="0" collapsed="false">
      <c r="A9" s="7" t="s">
        <v>137</v>
      </c>
      <c r="B9" s="30" t="s">
        <v>122</v>
      </c>
      <c r="C9" s="17" t="n">
        <f aca="false">Historicals!C22/Historicals!B22-1</f>
        <v>-0.145761720178454</v>
      </c>
      <c r="D9" s="17" t="n">
        <f aca="false">Historicals!D22/Historicals!C22-1</f>
        <v>0.327996575342466</v>
      </c>
      <c r="E9" s="17" t="n">
        <f aca="false">Historicals!E22/Historicals!D22-1</f>
        <v>0.253046225259493</v>
      </c>
      <c r="F9" s="17" t="n">
        <f aca="false">Historicals!F22/Historicals!E22-1</f>
        <v>0.126414900185223</v>
      </c>
      <c r="G9" s="31" t="n">
        <f aca="false">AVERAGE(C9:F9)</f>
        <v>0.140423995152182</v>
      </c>
      <c r="H9" s="31" t="n">
        <f aca="false">AVERAGE(D9:F9)</f>
        <v>0.235819233595727</v>
      </c>
    </row>
    <row r="11" customFormat="false" ht="15" hidden="false" customHeight="false" outlineLevel="0" collapsed="false">
      <c r="A11" s="4" t="s">
        <v>138</v>
      </c>
      <c r="B11" s="5"/>
      <c r="C11" s="5"/>
      <c r="D11" s="5"/>
      <c r="E11" s="5"/>
      <c r="F11" s="5"/>
      <c r="G11" s="5"/>
      <c r="H11" s="5"/>
      <c r="I11" s="5"/>
    </row>
    <row r="12" customFormat="false" ht="15" hidden="false" customHeight="false" outlineLevel="0" collapsed="false">
      <c r="A12" s="7" t="s">
        <v>139</v>
      </c>
      <c r="B12" s="17" t="n">
        <f aca="false">Historicals!B9/Historicals!B7</f>
        <v>0.250987334876753</v>
      </c>
      <c r="C12" s="17" t="n">
        <f aca="false">Historicals!C9/Historicals!C7</f>
        <v>0.24140463839526</v>
      </c>
      <c r="D12" s="17" t="n">
        <f aca="false">Historicals!D9/Historicals!D7</f>
        <v>0.243753905496625</v>
      </c>
      <c r="E12" s="17" t="n">
        <f aca="false">Historicals!E9/Historicals!E7</f>
        <v>0.248510613302789</v>
      </c>
      <c r="F12" s="17" t="n">
        <f aca="false">Historicals!F9/Historicals!F7</f>
        <v>0.249266997867248</v>
      </c>
      <c r="G12" s="31" t="n">
        <f aca="false">AVERAGE(B12:F12)</f>
        <v>0.246784697987735</v>
      </c>
      <c r="H12" s="31" t="n">
        <f aca="false">AVERAGE(D12:F12)</f>
        <v>0.247177172222221</v>
      </c>
      <c r="I12" s="13" t="s">
        <v>140</v>
      </c>
    </row>
    <row r="13" customFormat="false" ht="15" hidden="false" customHeight="false" outlineLevel="0" collapsed="false">
      <c r="A13" s="7" t="s">
        <v>141</v>
      </c>
      <c r="B13" s="17" t="n">
        <f aca="false">Historicals!B11/Historicals!B7</f>
        <v>0.045293441861602</v>
      </c>
      <c r="C13" s="17" t="n">
        <f aca="false">Historicals!C11/Historicals!C7</f>
        <v>0.0334179087142088</v>
      </c>
      <c r="D13" s="17" t="n">
        <f aca="false">Historicals!D11/Historicals!D7</f>
        <v>0.0416771456123433</v>
      </c>
      <c r="E13" s="17" t="n">
        <f aca="false">Historicals!E11/Historicals!E7</f>
        <v>0.043096397130627</v>
      </c>
      <c r="F13" s="17" t="n">
        <f aca="false">Historicals!F11/Historicals!F7</f>
        <v>0.0418207338294331</v>
      </c>
      <c r="G13" s="31" t="n">
        <f aca="false">AVERAGE(B13:F13)</f>
        <v>0.0410611254296428</v>
      </c>
      <c r="H13" s="31" t="n">
        <f aca="false">AVERAGE(D13:F13)</f>
        <v>0.0421980921908011</v>
      </c>
      <c r="I13" s="13" t="s">
        <v>142</v>
      </c>
    </row>
    <row r="14" customFormat="false" ht="15" hidden="false" customHeight="false" outlineLevel="0" collapsed="false">
      <c r="A14" s="7" t="s">
        <v>143</v>
      </c>
      <c r="B14" s="17" t="n">
        <f aca="false">Historicals!B14/Historicals!B7</f>
        <v>0.0639017798217036</v>
      </c>
      <c r="C14" s="17" t="n">
        <f aca="false">Historicals!C14/Historicals!C7</f>
        <v>0.0513226967931698</v>
      </c>
      <c r="D14" s="17" t="n">
        <f aca="false">Historicals!D14/Historicals!D7</f>
        <v>0.0599652844744455</v>
      </c>
      <c r="E14" s="17" t="n">
        <f aca="false">Historicals!E14/Historicals!E7</f>
        <v>0.0621467433203375</v>
      </c>
      <c r="F14" s="17" t="n">
        <f aca="false">Historicals!F14/Historicals!F7</f>
        <v>0.0617362370173439</v>
      </c>
      <c r="G14" s="31" t="n">
        <f aca="false">AVERAGE(B14:F14)</f>
        <v>0.0598145482854</v>
      </c>
      <c r="H14" s="31" t="n">
        <f aca="false">AVERAGE(D14:F14)</f>
        <v>0.0612827549373756</v>
      </c>
    </row>
    <row r="15" customFormat="false" ht="15" hidden="false" customHeight="false" outlineLevel="0" collapsed="false">
      <c r="A15" s="7" t="s">
        <v>144</v>
      </c>
      <c r="B15" s="17" t="n">
        <f aca="false">Historicals!B22/Historicals!B7</f>
        <v>0.0238723780191845</v>
      </c>
      <c r="C15" s="17" t="n">
        <f aca="false">Historicals!C22/Historicals!C7</f>
        <v>0.0191071653505952</v>
      </c>
      <c r="D15" s="17" t="n">
        <f aca="false">Historicals!D22/Historicals!D7</f>
        <v>0.0239321118611379</v>
      </c>
      <c r="E15" s="17" t="n">
        <f aca="false">Historicals!E22/Historicals!E7</f>
        <v>0.0285410104481009</v>
      </c>
      <c r="F15" s="17" t="n">
        <f aca="false">Historicals!F22/Historicals!F7</f>
        <v>0.030698451826581</v>
      </c>
      <c r="G15" s="31" t="n">
        <f aca="false">AVERAGE(B15:F15)</f>
        <v>0.0252302235011199</v>
      </c>
      <c r="H15" s="31" t="n">
        <f aca="false">AVERAGE(D15:F15)</f>
        <v>0.0277238580452733</v>
      </c>
    </row>
    <row r="16" customFormat="false" ht="15" hidden="false" customHeight="false" outlineLevel="0" collapsed="false">
      <c r="A16" s="7" t="s">
        <v>145</v>
      </c>
      <c r="B16" s="17" t="n">
        <f aca="false">Historicals!B19/Historicals!B18</f>
        <v>0.254385964912281</v>
      </c>
      <c r="C16" s="17" t="n">
        <f aca="false">Historicals!C19/Historicals!C18</f>
        <v>0.33638928067701</v>
      </c>
      <c r="D16" s="17" t="n">
        <f aca="false">Historicals!D19/Historicals!D18</f>
        <v>0.255309410472354</v>
      </c>
      <c r="E16" s="17" t="n">
        <f aca="false">Historicals!E19/Historicals!E18</f>
        <v>0.233836329773081</v>
      </c>
      <c r="F16" s="17" t="n">
        <f aca="false">Historicals!F19/Historicals!F18</f>
        <v>0.244290610472021</v>
      </c>
      <c r="G16" s="31" t="n">
        <f aca="false">AVERAGE(B16:F16)</f>
        <v>0.26484231926135</v>
      </c>
      <c r="H16" s="31" t="n">
        <f aca="false">AVERAGE(D16:F16)</f>
        <v>0.244478783572486</v>
      </c>
      <c r="I16" s="13" t="s">
        <v>146</v>
      </c>
    </row>
    <row r="18" customFormat="false" ht="15" hidden="false" customHeight="false" outlineLevel="0" collapsed="false">
      <c r="A18" s="4" t="s">
        <v>147</v>
      </c>
      <c r="B18" s="5"/>
      <c r="C18" s="5"/>
      <c r="D18" s="5"/>
      <c r="E18" s="5"/>
      <c r="F18" s="5"/>
      <c r="G18" s="5"/>
      <c r="H18" s="5"/>
      <c r="I18" s="5"/>
    </row>
    <row r="19" customFormat="false" ht="15" hidden="false" customHeight="false" outlineLevel="0" collapsed="false">
      <c r="A19" s="7" t="s">
        <v>148</v>
      </c>
      <c r="B19" s="17" t="n">
        <f aca="false">Historicals!B32/Historicals!C7</f>
        <v>0.161733648078078</v>
      </c>
      <c r="C19" s="17" t="n">
        <f aca="false">Historicals!C32/Historicals!D7</f>
        <v>0.163053423336548</v>
      </c>
      <c r="D19" s="17" t="n">
        <f aca="false">Historicals!D32/Historicals!E7</f>
        <v>0.171318017283787</v>
      </c>
      <c r="E19" s="17" t="n">
        <f aca="false">Historicals!E32/Historicals!F7</f>
        <v>0.176824933430366</v>
      </c>
      <c r="F19" s="30" t="s">
        <v>122</v>
      </c>
      <c r="G19" s="31" t="n">
        <f aca="false">AVERAGE(B19:E19)</f>
        <v>0.168232505532195</v>
      </c>
      <c r="H19" s="31" t="n">
        <f aca="false">AVERAGE(D19:E19)</f>
        <v>0.174071475357077</v>
      </c>
      <c r="I19" s="13" t="s">
        <v>149</v>
      </c>
    </row>
    <row r="20" customFormat="false" ht="15" hidden="false" customHeight="false" outlineLevel="0" collapsed="false">
      <c r="A20" s="7" t="s">
        <v>150</v>
      </c>
      <c r="B20" s="30" t="s">
        <v>122</v>
      </c>
      <c r="C20" s="16" t="n">
        <f aca="false">Historicals!C13/Historicals!B32</f>
        <v>0.110705399227237</v>
      </c>
      <c r="D20" s="16" t="n">
        <f aca="false">Historicals!D13/Historicals!C32</f>
        <v>0.112160410299113</v>
      </c>
      <c r="E20" s="16" t="n">
        <f aca="false">Historicals!E13/Historicals!D32</f>
        <v>0.111198731410449</v>
      </c>
      <c r="F20" s="16" t="n">
        <f aca="false">Historicals!F13/Historicals!E32</f>
        <v>0.11262836525118</v>
      </c>
      <c r="G20" s="32" t="n">
        <f aca="false">AVERAGE(C20:F20)</f>
        <v>0.111673226546995</v>
      </c>
      <c r="H20" s="32" t="n">
        <f aca="false">AVERAGE(D20:F20)</f>
        <v>0.111995835653581</v>
      </c>
      <c r="I20" s="13" t="s">
        <v>151</v>
      </c>
    </row>
    <row r="21" customFormat="false" ht="15" hidden="false" customHeight="false" outlineLevel="0" collapsed="false">
      <c r="A21" s="7" t="s">
        <v>152</v>
      </c>
      <c r="B21" s="30" t="s">
        <v>122</v>
      </c>
      <c r="C21" s="33" t="n">
        <f aca="false">Historicals!B32/Historicals!C13</f>
        <v>9.03298309730471</v>
      </c>
      <c r="D21" s="33" t="n">
        <f aca="false">Historicals!C32/Historicals!D13</f>
        <v>8.91580190669029</v>
      </c>
      <c r="E21" s="33" t="n">
        <f aca="false">Historicals!D32/Historicals!E13</f>
        <v>8.99290834810761</v>
      </c>
      <c r="F21" s="33" t="n">
        <f aca="false">Historicals!E32/Historicals!F13</f>
        <v>8.87875800887137</v>
      </c>
      <c r="G21" s="34" t="n">
        <f aca="false">AVERAGE(C21:F21)</f>
        <v>8.95511284024349</v>
      </c>
      <c r="H21" s="34" t="n">
        <f aca="false">AVERAGE(D21:F21)</f>
        <v>8.92915608788975</v>
      </c>
      <c r="I21" s="13" t="s">
        <v>153</v>
      </c>
    </row>
    <row r="22" customFormat="false" ht="15" hidden="false" customHeight="false" outlineLevel="0" collapsed="false">
      <c r="A22" s="7" t="s">
        <v>154</v>
      </c>
      <c r="B22" s="17" t="n">
        <f aca="false">Historicals!B70/Historicals!B7</f>
        <v>0.0228824242170286</v>
      </c>
      <c r="C22" s="17" t="n">
        <f aca="false">Historicals!C70/Historicals!C7</f>
        <v>0.0275761546502554</v>
      </c>
      <c r="D22" s="17" t="n">
        <f aca="false">Historicals!D70/Historicals!D7</f>
        <v>0.03179324975892</v>
      </c>
      <c r="E22" s="17" t="n">
        <f aca="false">Historicals!E70/Historicals!E7</f>
        <v>0.0349244109635308</v>
      </c>
      <c r="F22" s="17" t="n">
        <f aca="false">Historicals!F70/Historicals!F7</f>
        <v>0.0373575185476532</v>
      </c>
      <c r="G22" s="31" t="n">
        <f aca="false">AVERAGE(B22:F22)</f>
        <v>0.0309067516274776</v>
      </c>
      <c r="H22" s="31" t="n">
        <f aca="false">AVERAGE(D22:F22)</f>
        <v>0.034691726423368</v>
      </c>
      <c r="I22" s="13" t="s">
        <v>155</v>
      </c>
    </row>
    <row r="23" customFormat="false" ht="15" hidden="false" customHeight="false" outlineLevel="0" collapsed="false">
      <c r="A23" s="7" t="s">
        <v>156</v>
      </c>
      <c r="B23" s="18" t="n">
        <f aca="false">Historicals!B70/Historicals!B13</f>
        <v>1.22968662037906</v>
      </c>
      <c r="C23" s="18" t="n">
        <f aca="false">Historicals!C70/Historicals!C13</f>
        <v>1.54015532206487</v>
      </c>
      <c r="D23" s="18" t="n">
        <f aca="false">Historicals!D70/Historicals!D13</f>
        <v>1.73846283641272</v>
      </c>
      <c r="E23" s="18" t="n">
        <f aca="false">Historicals!E70/Historicals!E13</f>
        <v>1.83326909735605</v>
      </c>
      <c r="F23" s="18" t="n">
        <f aca="false">Historicals!F70/Historicals!F13</f>
        <v>1.87580088713652</v>
      </c>
      <c r="G23" s="35" t="n">
        <f aca="false">AVERAGE(B23:F23)</f>
        <v>1.64347495266984</v>
      </c>
      <c r="H23" s="35" t="n">
        <f aca="false">AVERAGE(D23:F23)</f>
        <v>1.8158442736351</v>
      </c>
      <c r="I23" s="13" t="s">
        <v>157</v>
      </c>
    </row>
    <row r="26" customFormat="false" ht="15" hidden="false" customHeight="false" outlineLevel="0" collapsed="false">
      <c r="A26" s="4" t="s">
        <v>158</v>
      </c>
      <c r="B26" s="5"/>
      <c r="C26" s="5"/>
      <c r="D26" s="5"/>
      <c r="E26" s="5"/>
      <c r="F26" s="5"/>
      <c r="G26" s="5"/>
      <c r="H26" s="5"/>
      <c r="I26" s="5"/>
    </row>
    <row r="27" customFormat="false" ht="15" hidden="false" customHeight="false" outlineLevel="0" collapsed="false">
      <c r="A27" s="7" t="s">
        <v>159</v>
      </c>
      <c r="B27" s="16" t="n">
        <f aca="false">Historicals!B59/Historicals!C7</f>
        <v>-0.0259484466430772</v>
      </c>
      <c r="C27" s="16" t="n">
        <f aca="false">Historicals!C59/Historicals!D7</f>
        <v>-0.0286441658630665</v>
      </c>
      <c r="D27" s="16" t="n">
        <f aca="false">Historicals!D59/Historicals!E7</f>
        <v>-0.0277069245284404</v>
      </c>
      <c r="E27" s="16" t="n">
        <f aca="false">Historicals!E59/Historicals!F7</f>
        <v>-0.0255173081048793</v>
      </c>
      <c r="F27" s="30" t="s">
        <v>122</v>
      </c>
      <c r="G27" s="32" t="n">
        <f aca="false">AVERAGE(B27:E27)</f>
        <v>-0.0269542112848658</v>
      </c>
      <c r="H27" s="32" t="n">
        <f aca="false">AVERAGE(D27:E27)</f>
        <v>-0.0266121163166598</v>
      </c>
      <c r="I27" s="13" t="s">
        <v>160</v>
      </c>
    </row>
    <row r="28" customFormat="false" ht="15" hidden="false" customHeight="false" outlineLevel="0" collapsed="false">
      <c r="A28" s="7" t="s">
        <v>161</v>
      </c>
      <c r="B28" s="16" t="n">
        <f aca="false">Historicals!B63/Historicals!B7</f>
        <v>0.0151513564287635</v>
      </c>
      <c r="C28" s="16" t="n">
        <f aca="false">Historicals!C63/Historicals!C7</f>
        <v>0.0089090430222039</v>
      </c>
      <c r="D28" s="16" t="n">
        <f aca="false">Historicals!D63/Historicals!D7</f>
        <v>0.00376779170684667</v>
      </c>
      <c r="E28" s="16" t="n">
        <f aca="false">Historicals!E63/Historicals!E7</f>
        <v>-0.00224527706190298</v>
      </c>
      <c r="F28" s="16" t="n">
        <f aca="false">Historicals!F63/Historicals!F7</f>
        <v>-0.00342979094540799</v>
      </c>
      <c r="G28" s="32" t="n">
        <f aca="false">AVERAGE(B28:F28)</f>
        <v>0.00443062463010062</v>
      </c>
      <c r="H28" s="32" t="n">
        <f aca="false">AVERAGE(D28:F28)</f>
        <v>-0.000635758766821433</v>
      </c>
      <c r="I28" s="13" t="s">
        <v>162</v>
      </c>
    </row>
    <row r="29" customFormat="false" ht="15" hidden="false" customHeight="false" outlineLevel="0" collapsed="false">
      <c r="A29" s="7" t="s">
        <v>163</v>
      </c>
      <c r="B29" s="17" t="n">
        <f aca="false">Historicals!B34/Historicals!B7</f>
        <v>0.0506570010859811</v>
      </c>
      <c r="C29" s="17" t="n">
        <f aca="false">Historicals!C34/Historicals!C7</f>
        <v>0.0460894928585334</v>
      </c>
      <c r="D29" s="17" t="n">
        <f aca="false">Historicals!D34/Historicals!D7</f>
        <v>0.0433758919961427</v>
      </c>
      <c r="E29" s="17" t="n">
        <f aca="false">Historicals!E34/Historicals!E7</f>
        <v>0.0422799327444804</v>
      </c>
      <c r="F29" s="17" t="n">
        <f aca="false">Historicals!F34/Historicals!F7</f>
        <v>0.0402923314866307</v>
      </c>
      <c r="G29" s="31" t="n">
        <f aca="false">AVERAGE(B29:F29)</f>
        <v>0.0445389300343537</v>
      </c>
      <c r="H29" s="31" t="n">
        <f aca="false">AVERAGE(D29:F29)</f>
        <v>0.0419827187424179</v>
      </c>
      <c r="I29" s="13" t="s">
        <v>164</v>
      </c>
    </row>
    <row r="30" customFormat="false" ht="15" hidden="false" customHeight="false" outlineLevel="0" collapsed="false">
      <c r="A30" s="7" t="s">
        <v>165</v>
      </c>
      <c r="B30" s="16" t="n">
        <f aca="false">Historicals!B62/Historicals!B7</f>
        <v>-0.00128152749697078</v>
      </c>
      <c r="C30" s="16" t="n">
        <f aca="false">Historicals!C62/Historicals!C7</f>
        <v>-0.00122037203352261</v>
      </c>
      <c r="D30" s="16" t="n">
        <f aca="false">Historicals!D62/Historicals!D7</f>
        <v>-0.00116798457087753</v>
      </c>
      <c r="E30" s="16" t="n">
        <f aca="false">Historicals!E62/Historicals!E7</f>
        <v>-0.00106463431646806</v>
      </c>
      <c r="F30" s="16" t="n">
        <f aca="false">Historicals!F62/Historicals!F7</f>
        <v>-0.00115261167503081</v>
      </c>
      <c r="G30" s="32" t="n">
        <f aca="false">AVERAGE(B30:F30)</f>
        <v>-0.00117742601857396</v>
      </c>
      <c r="H30" s="32" t="n">
        <f aca="false">AVERAGE(D30:F30)</f>
        <v>-0.0011284101874588</v>
      </c>
      <c r="I30" s="13" t="s">
        <v>166</v>
      </c>
    </row>
    <row r="32" customFormat="false" ht="15" hidden="false" customHeight="false" outlineLevel="0" collapsed="false">
      <c r="A32" s="4" t="s">
        <v>167</v>
      </c>
      <c r="B32" s="5"/>
      <c r="C32" s="5"/>
      <c r="D32" s="5"/>
      <c r="E32" s="5"/>
      <c r="F32" s="5"/>
      <c r="G32" s="5"/>
      <c r="H32" s="5"/>
      <c r="I32" s="5"/>
    </row>
    <row r="33" customFormat="false" ht="15" hidden="false" customHeight="false" outlineLevel="0" collapsed="false">
      <c r="A33" s="7" t="s">
        <v>168</v>
      </c>
      <c r="B33" s="8" t="n">
        <f aca="false">Historicals!B11*(1-Historicals!B19/Historicals!B18)</f>
        <v>19342.7192982456</v>
      </c>
      <c r="C33" s="8" t="n">
        <f aca="false">Historicals!C11*(1-Historicals!C19/Historicals!C18)</f>
        <v>13556.23977433</v>
      </c>
      <c r="D33" s="8" t="n">
        <f aca="false">Historicals!D11*(1-Historicals!D19/Historicals!D18)</f>
        <v>20115.5822043208</v>
      </c>
      <c r="E33" s="8" t="n">
        <f aca="false">Historicals!E11*(1-Historicals!E19/Historicals!E18)</f>
        <v>22485.3713938196</v>
      </c>
      <c r="F33" s="8" t="n">
        <f aca="false">Historicals!F11*(1-Historicals!F19/Historicals!F18)</f>
        <v>22539.032542672</v>
      </c>
      <c r="G33" s="28" t="n">
        <f aca="false">AVERAGE(B33:F33)</f>
        <v>19607.7890426776</v>
      </c>
      <c r="H33" s="28" t="n">
        <f aca="false">AVERAGE(D33:F33)</f>
        <v>21713.3287136041</v>
      </c>
    </row>
    <row r="34" customFormat="false" ht="15" hidden="false" customHeight="false" outlineLevel="0" collapsed="false">
      <c r="A34" s="7" t="s">
        <v>169</v>
      </c>
      <c r="B34" s="17" t="n">
        <f aca="false">B33/Historicals!B64</f>
        <v>0.161240386941245</v>
      </c>
      <c r="C34" s="17" t="n">
        <f aca="false">C33/Historicals!C64</f>
        <v>0.112979962782362</v>
      </c>
      <c r="D34" s="17" t="n">
        <f aca="false">D33/Historicals!D64</f>
        <v>0.157651806139118</v>
      </c>
      <c r="E34" s="17" t="n">
        <f aca="false">E33/Historicals!E64</f>
        <v>0.167245872987613</v>
      </c>
      <c r="F34" s="17" t="n">
        <f aca="false">F33/Historicals!F64</f>
        <v>0.153351789017744</v>
      </c>
      <c r="G34" s="31" t="n">
        <f aca="false">AVERAGE(B34:F34)</f>
        <v>0.150493963573616</v>
      </c>
      <c r="H34" s="31" t="n">
        <f aca="false">AVERAGE(D34:F34)</f>
        <v>0.159416489381492</v>
      </c>
      <c r="I34" s="13" t="s">
        <v>170</v>
      </c>
    </row>
    <row r="35" customFormat="false" ht="15" hidden="false" customHeight="false" outlineLevel="0" collapsed="false">
      <c r="A35" s="7" t="s">
        <v>171</v>
      </c>
      <c r="B35" s="17" t="n">
        <f aca="false">Historicals!B22/Historicals!B50</f>
        <v>0.164234321886298</v>
      </c>
      <c r="C35" s="17" t="n">
        <f aca="false">Historicals!C22/Historicals!C50</f>
        <v>0.152295515888021</v>
      </c>
      <c r="D35" s="17" t="n">
        <f aca="false">Historicals!D22/Historicals!D50</f>
        <v>0.184960828036871</v>
      </c>
      <c r="E35" s="17" t="n">
        <f aca="false">Historicals!E22/Historicals!E50</f>
        <v>0.21355191016668</v>
      </c>
      <c r="F35" s="17" t="n">
        <f aca="false">Historicals!F22/Historicals!F50</f>
        <v>0.219771725709467</v>
      </c>
      <c r="G35" s="31" t="n">
        <f aca="false">AVERAGE(B35:F35)</f>
        <v>0.186962860337467</v>
      </c>
      <c r="H35" s="31" t="n">
        <f aca="false">AVERAGE(D35:F35)</f>
        <v>0.206094821304339</v>
      </c>
    </row>
    <row r="36" customFormat="false" ht="15" hidden="false" customHeight="false" outlineLevel="0" collapsed="false">
      <c r="A36" s="7" t="s">
        <v>172</v>
      </c>
      <c r="B36" s="18" t="n">
        <f aca="false">Historicals!B55/Historicals!B14</f>
        <v>1.17024590163934</v>
      </c>
      <c r="C36" s="18" t="n">
        <f aca="false">Historicals!C55/Historicals!C14</f>
        <v>1.42230580435406</v>
      </c>
      <c r="D36" s="18" t="n">
        <f aca="false">Historicals!D55/Historicals!D14</f>
        <v>1.20650971310948</v>
      </c>
      <c r="E36" s="18" t="n">
        <f aca="false">Historicals!E55/Historicals!E14</f>
        <v>1.08196876255287</v>
      </c>
      <c r="F36" s="18" t="n">
        <f aca="false">Historicals!F55/Historicals!F14</f>
        <v>1.17023257926774</v>
      </c>
      <c r="G36" s="35" t="n">
        <f aca="false">AVERAGE(B36:F36)</f>
        <v>1.2102525521847</v>
      </c>
      <c r="H36" s="35" t="n">
        <f aca="false">AVERAGE(D36:F36)</f>
        <v>1.1529036849767</v>
      </c>
    </row>
    <row r="37" customFormat="false" ht="15" hidden="false" customHeight="false" outlineLevel="0" collapsed="false">
      <c r="A37" s="7" t="s">
        <v>173</v>
      </c>
      <c r="B37" s="18" t="n">
        <f aca="false">Historicals!B14/Historicals!B16</f>
        <v>21.8637992831541</v>
      </c>
      <c r="C37" s="18" t="n">
        <f aca="false">Historicals!C14/Historicals!C16</f>
        <v>14.7429511278195</v>
      </c>
      <c r="D37" s="18" t="n">
        <f aca="false">Historicals!D14/Historicals!D16</f>
        <v>14.485650391353</v>
      </c>
      <c r="E37" s="18" t="n">
        <f aca="false">Historicals!E14/Historicals!E16</f>
        <v>15.5135630498534</v>
      </c>
      <c r="F37" s="18" t="n">
        <f aca="false">Historicals!F14/Historicals!F16</f>
        <v>15.7299035369775</v>
      </c>
      <c r="G37" s="35" t="n">
        <f aca="false">AVERAGE(B37:F37)</f>
        <v>16.4671734778315</v>
      </c>
      <c r="H37" s="35" t="n">
        <f aca="false">AVERAGE(D37:F37)</f>
        <v>15.2430389927279</v>
      </c>
    </row>
    <row r="38" customFormat="false" ht="15" hidden="false" customHeight="false" outlineLevel="0" collapsed="false">
      <c r="A38" s="7" t="s">
        <v>174</v>
      </c>
      <c r="B38" s="17" t="n">
        <f aca="false">Historicals!B71/Historicals!B22</f>
        <v>0.809990492210927</v>
      </c>
      <c r="C38" s="17" t="n">
        <f aca="false">Historicals!C71/Historicals!C22</f>
        <v>1.02602739726027</v>
      </c>
      <c r="D38" s="17" t="n">
        <f aca="false">Historicals!D71/Historicals!D22</f>
        <v>0.974792083037844</v>
      </c>
      <c r="E38" s="17" t="n">
        <f aca="false">Historicals!E71/Historicals!E22</f>
        <v>0.65136859436098</v>
      </c>
      <c r="F38" s="17" t="n">
        <f aca="false">Historicals!F71/Historicals!F22</f>
        <v>0.681633398803271</v>
      </c>
      <c r="G38" s="31" t="n">
        <f aca="false">AVERAGE(B38:F38)</f>
        <v>0.828762393134659</v>
      </c>
      <c r="H38" s="31" t="n">
        <f aca="false">AVERAGE(D38:F38)</f>
        <v>0.769264692067365</v>
      </c>
    </row>
    <row r="40" customFormat="false" ht="15" hidden="false" customHeight="false" outlineLevel="0" collapsed="false">
      <c r="A40" s="13" t="s">
        <v>175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4"/>
    <col collapsed="false" customWidth="true" hidden="false" outlineLevel="0" max="2" min="2" style="0" width="14"/>
    <col collapsed="false" customWidth="true" hidden="false" outlineLevel="0" max="3" min="3" style="0" width="54"/>
  </cols>
  <sheetData>
    <row r="1" customFormat="false" ht="21.75" hidden="false" customHeight="true" outlineLevel="0" collapsed="false">
      <c r="A1" s="1" t="s">
        <v>176</v>
      </c>
      <c r="B1" s="2"/>
      <c r="C1" s="2"/>
    </row>
    <row r="2" customFormat="false" ht="15" hidden="false" customHeight="false" outlineLevel="0" collapsed="false">
      <c r="A2" s="3" t="s">
        <v>177</v>
      </c>
    </row>
    <row r="4" customFormat="false" ht="15" hidden="false" customHeight="false" outlineLevel="0" collapsed="false">
      <c r="A4" s="4" t="s">
        <v>178</v>
      </c>
      <c r="B4" s="5"/>
      <c r="C4" s="5"/>
    </row>
    <row r="5" customFormat="false" ht="15" hidden="false" customHeight="false" outlineLevel="0" collapsed="false">
      <c r="A5" s="7" t="s">
        <v>179</v>
      </c>
      <c r="B5" s="36" t="n">
        <v>108.09</v>
      </c>
      <c r="C5" s="13" t="s">
        <v>180</v>
      </c>
    </row>
    <row r="6" customFormat="false" ht="15" hidden="false" customHeight="false" outlineLevel="0" collapsed="false">
      <c r="A6" s="7" t="s">
        <v>8</v>
      </c>
      <c r="B6" s="37" t="n">
        <v>8022</v>
      </c>
      <c r="C6" s="13" t="s">
        <v>181</v>
      </c>
    </row>
    <row r="7" customFormat="false" ht="15" hidden="false" customHeight="false" outlineLevel="0" collapsed="false">
      <c r="A7" s="9" t="s">
        <v>182</v>
      </c>
      <c r="B7" s="10" t="n">
        <f aca="false">B5*B6</f>
        <v>867097.98</v>
      </c>
    </row>
    <row r="8" customFormat="false" ht="15" hidden="false" customHeight="false" outlineLevel="0" collapsed="false">
      <c r="A8" s="7" t="s">
        <v>183</v>
      </c>
      <c r="B8" s="8" t="n">
        <f aca="false">Historicals!F55</f>
        <v>51523</v>
      </c>
      <c r="C8" s="13" t="s">
        <v>184</v>
      </c>
    </row>
    <row r="9" customFormat="false" ht="15" hidden="false" customHeight="false" outlineLevel="0" collapsed="false">
      <c r="A9" s="7" t="s">
        <v>185</v>
      </c>
      <c r="B9" s="8" t="n">
        <f aca="false">-Historicals!F27</f>
        <v>-10727</v>
      </c>
    </row>
    <row r="10" customFormat="false" ht="15" hidden="false" customHeight="false" outlineLevel="0" collapsed="false">
      <c r="A10" s="9" t="s">
        <v>186</v>
      </c>
      <c r="B10" s="10" t="n">
        <f aca="false">B8+B9</f>
        <v>40796</v>
      </c>
    </row>
    <row r="11" customFormat="false" ht="15" hidden="false" customHeight="false" outlineLevel="0" collapsed="false">
      <c r="A11" s="7" t="s">
        <v>187</v>
      </c>
      <c r="B11" s="8" t="n">
        <f aca="false">Historicals!F49</f>
        <v>6563</v>
      </c>
    </row>
    <row r="12" customFormat="false" ht="15" hidden="false" customHeight="false" outlineLevel="0" collapsed="false">
      <c r="A12" s="9" t="s">
        <v>188</v>
      </c>
      <c r="B12" s="10" t="n">
        <f aca="false">B7+B10+B11</f>
        <v>914456.98</v>
      </c>
    </row>
    <row r="14" customFormat="false" ht="15" hidden="false" customHeight="false" outlineLevel="0" collapsed="false">
      <c r="A14" s="4" t="s">
        <v>189</v>
      </c>
      <c r="B14" s="5"/>
      <c r="C14" s="5"/>
    </row>
    <row r="15" customFormat="false" ht="15" hidden="false" customHeight="false" outlineLevel="0" collapsed="false">
      <c r="A15" s="7" t="s">
        <v>190</v>
      </c>
      <c r="B15" s="38" t="n">
        <v>0.0497</v>
      </c>
      <c r="C15" s="13" t="s">
        <v>191</v>
      </c>
    </row>
    <row r="16" customFormat="false" ht="15" hidden="false" customHeight="false" outlineLevel="0" collapsed="false">
      <c r="A16" s="7" t="s">
        <v>192</v>
      </c>
      <c r="B16" s="38" t="n">
        <v>0.05</v>
      </c>
      <c r="C16" s="13" t="s">
        <v>193</v>
      </c>
    </row>
    <row r="17" customFormat="false" ht="15" hidden="false" customHeight="false" outlineLevel="0" collapsed="false">
      <c r="A17" s="7" t="s">
        <v>194</v>
      </c>
      <c r="B17" s="39" t="n">
        <v>0.595</v>
      </c>
      <c r="C17" s="13" t="s">
        <v>195</v>
      </c>
    </row>
    <row r="18" customFormat="false" ht="15" hidden="false" customHeight="false" outlineLevel="0" collapsed="false">
      <c r="A18" s="9" t="s">
        <v>196</v>
      </c>
      <c r="B18" s="40" t="n">
        <f aca="false">B15+B17*B16</f>
        <v>0.07945</v>
      </c>
    </row>
    <row r="20" customFormat="false" ht="15" hidden="false" customHeight="false" outlineLevel="0" collapsed="false">
      <c r="A20" s="4" t="s">
        <v>197</v>
      </c>
      <c r="B20" s="5"/>
      <c r="C20" s="5"/>
    </row>
    <row r="21" customFormat="false" ht="15" hidden="false" customHeight="false" outlineLevel="0" collapsed="false">
      <c r="A21" s="7" t="s">
        <v>198</v>
      </c>
      <c r="B21" s="38" t="n">
        <v>0.053</v>
      </c>
      <c r="C21" s="13" t="s">
        <v>199</v>
      </c>
    </row>
    <row r="22" customFormat="false" ht="15" hidden="false" customHeight="false" outlineLevel="0" collapsed="false">
      <c r="A22" s="7" t="s">
        <v>200</v>
      </c>
      <c r="B22" s="38" t="n">
        <v>0.25</v>
      </c>
      <c r="C22" s="13" t="s">
        <v>201</v>
      </c>
    </row>
    <row r="23" customFormat="false" ht="15" hidden="false" customHeight="false" outlineLevel="0" collapsed="false">
      <c r="A23" s="9" t="s">
        <v>202</v>
      </c>
      <c r="B23" s="40" t="n">
        <f aca="false">B21*(1-B22)</f>
        <v>0.03975</v>
      </c>
    </row>
    <row r="24" customFormat="false" ht="15" hidden="false" customHeight="false" outlineLevel="0" collapsed="false">
      <c r="A24" s="24" t="s">
        <v>203</v>
      </c>
      <c r="B24" s="41" t="n">
        <f aca="false">Historicals!F16/AVERAGE(Historicals!E55:F55)</f>
        <v>0.0575257159886141</v>
      </c>
      <c r="C24" s="13" t="s">
        <v>204</v>
      </c>
    </row>
    <row r="26" customFormat="false" ht="15" hidden="false" customHeight="false" outlineLevel="0" collapsed="false">
      <c r="A26" s="4" t="s">
        <v>205</v>
      </c>
      <c r="B26" s="5"/>
      <c r="C26" s="5"/>
    </row>
    <row r="27" customFormat="false" ht="15" hidden="false" customHeight="false" outlineLevel="0" collapsed="false">
      <c r="A27" s="7" t="s">
        <v>206</v>
      </c>
      <c r="B27" s="26" t="n">
        <f aca="false">B7</f>
        <v>867097.98</v>
      </c>
    </row>
    <row r="28" customFormat="false" ht="15" hidden="false" customHeight="false" outlineLevel="0" collapsed="false">
      <c r="A28" s="7" t="s">
        <v>207</v>
      </c>
      <c r="B28" s="26" t="n">
        <f aca="false">B8</f>
        <v>51523</v>
      </c>
    </row>
    <row r="29" customFormat="false" ht="15" hidden="false" customHeight="false" outlineLevel="0" collapsed="false">
      <c r="A29" s="9" t="s">
        <v>208</v>
      </c>
      <c r="B29" s="10" t="n">
        <f aca="false">B27+B28</f>
        <v>918620.98</v>
      </c>
    </row>
    <row r="30" customFormat="false" ht="15" hidden="false" customHeight="false" outlineLevel="0" collapsed="false">
      <c r="A30" s="7" t="s">
        <v>209</v>
      </c>
      <c r="B30" s="42" t="n">
        <f aca="false">B27/B29</f>
        <v>0.943912667877453</v>
      </c>
    </row>
    <row r="31" customFormat="false" ht="15" hidden="false" customHeight="false" outlineLevel="0" collapsed="false">
      <c r="A31" s="7" t="s">
        <v>210</v>
      </c>
      <c r="B31" s="42" t="n">
        <f aca="false">B28/B29</f>
        <v>0.0560873321225474</v>
      </c>
    </row>
    <row r="33" customFormat="false" ht="15" hidden="false" customHeight="false" outlineLevel="0" collapsed="false">
      <c r="A33" s="9" t="s">
        <v>14</v>
      </c>
      <c r="B33" s="43" t="n">
        <f aca="false">B30*B18+B31*B23</f>
        <v>0.0772233329147349</v>
      </c>
      <c r="C33" s="13" t="s">
        <v>211</v>
      </c>
    </row>
    <row r="35" customFormat="false" ht="15" hidden="false" customHeight="false" outlineLevel="0" collapsed="false">
      <c r="A35" s="13" t="s">
        <v>212</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8"/>
    <col collapsed="false" customWidth="true" hidden="false" outlineLevel="0" max="7" min="2" style="0" width="13"/>
    <col collapsed="false" customWidth="true" hidden="false" outlineLevel="0" max="8" min="8" style="0" width="50"/>
  </cols>
  <sheetData>
    <row r="1" customFormat="false" ht="21.75" hidden="false" customHeight="true" outlineLevel="0" collapsed="false">
      <c r="A1" s="1" t="s">
        <v>213</v>
      </c>
      <c r="B1" s="2"/>
      <c r="C1" s="2"/>
      <c r="D1" s="2"/>
      <c r="E1" s="2"/>
      <c r="F1" s="2"/>
      <c r="G1" s="2"/>
      <c r="H1" s="2"/>
    </row>
    <row r="2" customFormat="false" ht="15" hidden="false" customHeight="false" outlineLevel="0" collapsed="false">
      <c r="A2" s="3" t="s">
        <v>214</v>
      </c>
    </row>
    <row r="4" customFormat="false" ht="15" hidden="false" customHeight="false" outlineLevel="0" collapsed="false">
      <c r="A4" s="21" t="s">
        <v>46</v>
      </c>
      <c r="B4" s="22" t="s">
        <v>215</v>
      </c>
      <c r="C4" s="22" t="s">
        <v>216</v>
      </c>
      <c r="D4" s="22" t="s">
        <v>217</v>
      </c>
      <c r="E4" s="22" t="s">
        <v>218</v>
      </c>
      <c r="F4" s="22" t="s">
        <v>219</v>
      </c>
      <c r="G4" s="22" t="s">
        <v>220</v>
      </c>
      <c r="H4" s="21" t="s">
        <v>221</v>
      </c>
    </row>
    <row r="6" customFormat="false" ht="15" hidden="false" customHeight="false" outlineLevel="0" collapsed="false">
      <c r="A6" s="4" t="s">
        <v>222</v>
      </c>
      <c r="B6" s="5"/>
      <c r="C6" s="5"/>
      <c r="D6" s="5"/>
      <c r="E6" s="5"/>
      <c r="F6" s="5"/>
      <c r="G6" s="5"/>
      <c r="H6" s="5"/>
    </row>
    <row r="7" customFormat="false" ht="15" hidden="false" customHeight="false" outlineLevel="0" collapsed="false">
      <c r="A7" s="7" t="s">
        <v>134</v>
      </c>
      <c r="C7" s="44" t="n">
        <v>0.045</v>
      </c>
      <c r="D7" s="44" t="n">
        <v>0.041</v>
      </c>
      <c r="E7" s="44" t="n">
        <v>0.037</v>
      </c>
      <c r="F7" s="44" t="n">
        <v>0.033</v>
      </c>
      <c r="G7" s="44" t="n">
        <v>0.03</v>
      </c>
      <c r="H7" s="13" t="s">
        <v>223</v>
      </c>
    </row>
    <row r="8" customFormat="false" ht="15" hidden="false" customHeight="false" outlineLevel="0" collapsed="false">
      <c r="A8" s="7" t="s">
        <v>141</v>
      </c>
      <c r="C8" s="45" t="n">
        <v>0.0425</v>
      </c>
      <c r="D8" s="45" t="n">
        <v>0.043</v>
      </c>
      <c r="E8" s="45" t="n">
        <v>0.0435</v>
      </c>
      <c r="F8" s="45" t="n">
        <v>0.044</v>
      </c>
      <c r="G8" s="45" t="n">
        <v>0.044</v>
      </c>
      <c r="H8" s="13" t="s">
        <v>224</v>
      </c>
    </row>
    <row r="9" customFormat="false" ht="15" hidden="false" customHeight="false" outlineLevel="0" collapsed="false">
      <c r="A9" s="7" t="s">
        <v>145</v>
      </c>
      <c r="C9" s="44" t="n">
        <v>0.25</v>
      </c>
      <c r="D9" s="44" t="n">
        <v>0.25</v>
      </c>
      <c r="E9" s="44" t="n">
        <v>0.25</v>
      </c>
      <c r="F9" s="44" t="n">
        <v>0.25</v>
      </c>
      <c r="G9" s="44" t="n">
        <v>0.25</v>
      </c>
      <c r="H9" s="13" t="s">
        <v>225</v>
      </c>
    </row>
    <row r="10" customFormat="false" ht="15" hidden="false" customHeight="false" outlineLevel="0" collapsed="false">
      <c r="A10" s="7" t="s">
        <v>148</v>
      </c>
      <c r="C10" s="45" t="n">
        <v>0.19</v>
      </c>
      <c r="D10" s="45" t="n">
        <v>0.19</v>
      </c>
      <c r="E10" s="45" t="n">
        <v>0.19</v>
      </c>
      <c r="F10" s="45" t="n">
        <v>0.19</v>
      </c>
      <c r="G10" s="45" t="n">
        <v>0.19</v>
      </c>
      <c r="H10" s="13" t="s">
        <v>226</v>
      </c>
    </row>
    <row r="11" customFormat="false" ht="15" hidden="false" customHeight="false" outlineLevel="0" collapsed="false">
      <c r="A11" s="7" t="s">
        <v>150</v>
      </c>
      <c r="C11" s="45" t="n">
        <v>0.112</v>
      </c>
      <c r="D11" s="45" t="n">
        <v>0.112</v>
      </c>
      <c r="E11" s="45" t="n">
        <v>0.112</v>
      </c>
      <c r="F11" s="45" t="n">
        <v>0.112</v>
      </c>
      <c r="G11" s="45" t="n">
        <v>0.112</v>
      </c>
      <c r="H11" s="13" t="s">
        <v>227</v>
      </c>
    </row>
    <row r="12" customFormat="false" ht="15" hidden="false" customHeight="false" outlineLevel="0" collapsed="false">
      <c r="A12" s="7" t="s">
        <v>228</v>
      </c>
      <c r="C12" s="46" t="n">
        <v>1350</v>
      </c>
      <c r="D12" s="46" t="n">
        <v>1350</v>
      </c>
      <c r="E12" s="46" t="n">
        <v>1350</v>
      </c>
      <c r="F12" s="46" t="n">
        <v>1350</v>
      </c>
      <c r="G12" s="46" t="n">
        <v>1350</v>
      </c>
      <c r="H12" s="13" t="s">
        <v>229</v>
      </c>
    </row>
    <row r="13" customFormat="false" ht="15" hidden="false" customHeight="false" outlineLevel="0" collapsed="false">
      <c r="A13" s="7" t="s">
        <v>159</v>
      </c>
      <c r="C13" s="45" t="n">
        <v>-0.0275</v>
      </c>
      <c r="D13" s="45" t="n">
        <v>-0.0275</v>
      </c>
      <c r="E13" s="45" t="n">
        <v>-0.0275</v>
      </c>
      <c r="F13" s="45" t="n">
        <v>-0.0275</v>
      </c>
      <c r="G13" s="45" t="n">
        <v>-0.0275</v>
      </c>
      <c r="H13" s="13" t="s">
        <v>230</v>
      </c>
    </row>
    <row r="16" customFormat="false" ht="15" hidden="false" customHeight="false" outlineLevel="0" collapsed="false">
      <c r="A16" s="4" t="s">
        <v>231</v>
      </c>
      <c r="B16" s="5"/>
      <c r="C16" s="5"/>
      <c r="D16" s="5"/>
      <c r="E16" s="5"/>
      <c r="F16" s="5"/>
      <c r="G16" s="5"/>
      <c r="H16" s="5"/>
    </row>
    <row r="17" customFormat="false" ht="15" hidden="false" customHeight="false" outlineLevel="0" collapsed="false">
      <c r="A17" s="7" t="s">
        <v>54</v>
      </c>
      <c r="B17" s="8" t="n">
        <f aca="false">Historicals!F7</f>
        <v>713163</v>
      </c>
      <c r="C17" s="26" t="n">
        <f aca="false">B17*(1+C7)</f>
        <v>745255.335</v>
      </c>
      <c r="D17" s="26" t="n">
        <f aca="false">C17*(1+D7)</f>
        <v>775810.803735</v>
      </c>
      <c r="E17" s="26" t="n">
        <f aca="false">D17*(1+E7)</f>
        <v>804515.803473195</v>
      </c>
      <c r="F17" s="26" t="n">
        <f aca="false">E17*(1+F7)</f>
        <v>831064.82498781</v>
      </c>
      <c r="G17" s="26" t="n">
        <f aca="false">F17*(1+G7)</f>
        <v>855996.769737445</v>
      </c>
    </row>
    <row r="18" customFormat="false" ht="15" hidden="false" customHeight="false" outlineLevel="0" collapsed="false">
      <c r="A18" s="7" t="s">
        <v>232</v>
      </c>
      <c r="B18" s="26" t="n">
        <f aca="false">C17</f>
        <v>745255.335</v>
      </c>
      <c r="C18" s="26" t="n">
        <f aca="false">D17</f>
        <v>775810.803735</v>
      </c>
      <c r="D18" s="26" t="n">
        <f aca="false">E17</f>
        <v>804515.803473195</v>
      </c>
      <c r="E18" s="26" t="n">
        <f aca="false">F17</f>
        <v>831064.82498781</v>
      </c>
      <c r="F18" s="26" t="n">
        <f aca="false">G17</f>
        <v>855996.769737445</v>
      </c>
      <c r="G18" s="26" t="n">
        <f aca="false">G17*(1+$C$59)</f>
        <v>881676.672829568</v>
      </c>
      <c r="H18" s="13" t="s">
        <v>233</v>
      </c>
    </row>
    <row r="19" customFormat="false" ht="15" hidden="false" customHeight="false" outlineLevel="0" collapsed="false">
      <c r="A19" s="7" t="s">
        <v>59</v>
      </c>
      <c r="B19" s="8" t="n">
        <f aca="false">Historicals!F11</f>
        <v>29825</v>
      </c>
      <c r="C19" s="26" t="n">
        <f aca="false">C17*C8</f>
        <v>31673.3517375</v>
      </c>
      <c r="D19" s="26" t="n">
        <f aca="false">D17*D8</f>
        <v>33359.864560605</v>
      </c>
      <c r="E19" s="26" t="n">
        <f aca="false">E17*E8</f>
        <v>34996.437451084</v>
      </c>
      <c r="F19" s="26" t="n">
        <f aca="false">F17*F8</f>
        <v>36566.8522994636</v>
      </c>
      <c r="G19" s="26" t="n">
        <f aca="false">G17*G8</f>
        <v>37663.8578684476</v>
      </c>
    </row>
    <row r="20" customFormat="false" ht="15" hidden="false" customHeight="false" outlineLevel="0" collapsed="false">
      <c r="A20" s="7" t="s">
        <v>234</v>
      </c>
      <c r="B20" s="8" t="n">
        <f aca="false">-B19*Historicals!F19/Historicals!F18</f>
        <v>-7285.96745732804</v>
      </c>
      <c r="C20" s="26" t="n">
        <f aca="false">-C19*C9</f>
        <v>-7918.337934375</v>
      </c>
      <c r="D20" s="26" t="n">
        <f aca="false">-D19*D9</f>
        <v>-8339.96614015125</v>
      </c>
      <c r="E20" s="26" t="n">
        <f aca="false">-E19*E9</f>
        <v>-8749.10936277099</v>
      </c>
      <c r="F20" s="26" t="n">
        <f aca="false">-F19*F9</f>
        <v>-9141.71307486591</v>
      </c>
      <c r="G20" s="26" t="n">
        <f aca="false">-G19*G9</f>
        <v>-9415.96446711189</v>
      </c>
    </row>
    <row r="21" customFormat="false" ht="15" hidden="false" customHeight="false" outlineLevel="0" collapsed="false">
      <c r="A21" s="9" t="s">
        <v>235</v>
      </c>
      <c r="B21" s="10" t="n">
        <f aca="false">B19+B20</f>
        <v>22539.032542672</v>
      </c>
      <c r="C21" s="10" t="n">
        <f aca="false">C19+C20</f>
        <v>23755.013803125</v>
      </c>
      <c r="D21" s="10" t="n">
        <f aca="false">D19+D20</f>
        <v>25019.8984204537</v>
      </c>
      <c r="E21" s="10" t="n">
        <f aca="false">E19+E20</f>
        <v>26247.328088313</v>
      </c>
      <c r="F21" s="10" t="n">
        <f aca="false">F19+F20</f>
        <v>27425.1392245977</v>
      </c>
      <c r="G21" s="10" t="n">
        <f aca="false">G19+G20</f>
        <v>28247.8934013357</v>
      </c>
    </row>
    <row r="23" customFormat="false" ht="15" hidden="false" customHeight="false" outlineLevel="0" collapsed="false">
      <c r="A23" s="4" t="s">
        <v>236</v>
      </c>
      <c r="B23" s="5"/>
      <c r="C23" s="5"/>
      <c r="D23" s="5"/>
      <c r="E23" s="5"/>
      <c r="F23" s="5"/>
      <c r="G23" s="5"/>
      <c r="H23" s="5"/>
    </row>
    <row r="24" customFormat="false" ht="15" hidden="false" customHeight="false" outlineLevel="0" collapsed="false">
      <c r="A24" s="7" t="s">
        <v>237</v>
      </c>
      <c r="B24" s="8" t="n">
        <f aca="false">Historicals!E32</f>
        <v>126105</v>
      </c>
      <c r="C24" s="26" t="n">
        <f aca="false">B28</f>
        <v>142206</v>
      </c>
      <c r="D24" s="26" t="n">
        <f aca="false">C28</f>
        <v>147404.05270965</v>
      </c>
      <c r="E24" s="26" t="n">
        <f aca="false">D28</f>
        <v>152858.002659907</v>
      </c>
      <c r="F24" s="26" t="n">
        <f aca="false">E28</f>
        <v>157902.316747684</v>
      </c>
      <c r="G24" s="26" t="n">
        <f aca="false">F28</f>
        <v>162639.386250114</v>
      </c>
    </row>
    <row r="25" customFormat="false" ht="15" hidden="false" customHeight="false" outlineLevel="0" collapsed="false">
      <c r="A25" s="7" t="s">
        <v>238</v>
      </c>
      <c r="B25" s="8" t="n">
        <f aca="false">Historicals!F70</f>
        <v>26642</v>
      </c>
      <c r="C25" s="26" t="n">
        <f aca="false">C28-C24-C26-C27</f>
        <v>19775.12470965</v>
      </c>
      <c r="D25" s="26" t="n">
        <f aca="false">D28-D24-D26-D27</f>
        <v>20613.2038537378</v>
      </c>
      <c r="E25" s="26" t="n">
        <f aca="false">E28-E24-E26-E27</f>
        <v>20814.4103856865</v>
      </c>
      <c r="F25" s="26" t="n">
        <f aca="false">F28-F24-F26-F27</f>
        <v>21072.1289781711</v>
      </c>
      <c r="G25" s="26" t="n">
        <f aca="false">G28-G24-G26-G27</f>
        <v>21744.7928475163</v>
      </c>
      <c r="H25" s="13" t="s">
        <v>239</v>
      </c>
    </row>
    <row r="26" customFormat="false" ht="15" hidden="false" customHeight="false" outlineLevel="0" collapsed="false">
      <c r="A26" s="7" t="s">
        <v>240</v>
      </c>
      <c r="B26" s="8" t="n">
        <f aca="false">Historicals!F74</f>
        <v>3662</v>
      </c>
      <c r="C26" s="26" t="n">
        <f aca="false">C12</f>
        <v>1350</v>
      </c>
      <c r="D26" s="26" t="n">
        <f aca="false">D12</f>
        <v>1350</v>
      </c>
      <c r="E26" s="26" t="n">
        <f aca="false">E12</f>
        <v>1350</v>
      </c>
      <c r="F26" s="26" t="n">
        <f aca="false">F12</f>
        <v>1350</v>
      </c>
      <c r="G26" s="26" t="n">
        <f aca="false">G12</f>
        <v>1350</v>
      </c>
    </row>
    <row r="27" customFormat="false" ht="15" hidden="false" customHeight="false" outlineLevel="0" collapsed="false">
      <c r="A27" s="7" t="s">
        <v>241</v>
      </c>
      <c r="B27" s="8" t="n">
        <f aca="false">-Historicals!F13</f>
        <v>-14203</v>
      </c>
      <c r="C27" s="26" t="n">
        <f aca="false">-C11*C24</f>
        <v>-15927.072</v>
      </c>
      <c r="D27" s="26" t="n">
        <f aca="false">-D11*D24</f>
        <v>-16509.2539034808</v>
      </c>
      <c r="E27" s="26" t="n">
        <f aca="false">-E11*E24</f>
        <v>-17120.0962979096</v>
      </c>
      <c r="F27" s="26" t="n">
        <f aca="false">-F11*F24</f>
        <v>-17685.0594757406</v>
      </c>
      <c r="G27" s="26" t="n">
        <f aca="false">-G11*G24</f>
        <v>-18215.6112600128</v>
      </c>
      <c r="H27" s="13" t="s">
        <v>242</v>
      </c>
    </row>
    <row r="28" customFormat="false" ht="15" hidden="false" customHeight="false" outlineLevel="0" collapsed="false">
      <c r="A28" s="9" t="s">
        <v>243</v>
      </c>
      <c r="B28" s="10" t="n">
        <f aca="false">Historicals!F32</f>
        <v>142206</v>
      </c>
      <c r="C28" s="10" t="n">
        <f aca="false">C10*C18</f>
        <v>147404.05270965</v>
      </c>
      <c r="D28" s="10" t="n">
        <f aca="false">D10*D18</f>
        <v>152858.002659907</v>
      </c>
      <c r="E28" s="10" t="n">
        <f aca="false">E10*E18</f>
        <v>157902.316747684</v>
      </c>
      <c r="F28" s="10" t="n">
        <f aca="false">F10*F18</f>
        <v>162639.386250114</v>
      </c>
      <c r="G28" s="10" t="n">
        <f aca="false">G10*G18</f>
        <v>167518.567837618</v>
      </c>
      <c r="H28" s="13" t="s">
        <v>244</v>
      </c>
    </row>
    <row r="29" customFormat="false" ht="15" hidden="false" customHeight="false" outlineLevel="0" collapsed="false">
      <c r="A29" s="24" t="s">
        <v>245</v>
      </c>
      <c r="B29" s="41" t="n">
        <f aca="false">B25/B17</f>
        <v>0.0373575185476532</v>
      </c>
      <c r="C29" s="41" t="n">
        <f aca="false">C25/C17</f>
        <v>0.0265346972788192</v>
      </c>
      <c r="D29" s="41" t="n">
        <f aca="false">D25/D17</f>
        <v>0.0265698850215791</v>
      </c>
      <c r="E29" s="41" t="n">
        <f aca="false">E25/E17</f>
        <v>0.0258719720555247</v>
      </c>
      <c r="F29" s="41" t="n">
        <f aca="false">F25/F17</f>
        <v>0.025355577982115</v>
      </c>
      <c r="G29" s="41" t="n">
        <f aca="false">G25/G17</f>
        <v>0.0254028912447718</v>
      </c>
      <c r="H29" s="13" t="s">
        <v>246</v>
      </c>
    </row>
    <row r="30" customFormat="false" ht="15" hidden="false" customHeight="false" outlineLevel="0" collapsed="false">
      <c r="A30" s="24" t="s">
        <v>247</v>
      </c>
      <c r="B30" s="47" t="n">
        <f aca="false">-B25/B27</f>
        <v>1.87580088713652</v>
      </c>
      <c r="C30" s="47" t="n">
        <f aca="false">-C25/C27</f>
        <v>1.24160452779079</v>
      </c>
      <c r="D30" s="47" t="n">
        <f aca="false">-D25/D27</f>
        <v>1.24858482244263</v>
      </c>
      <c r="E30" s="47" t="n">
        <f aca="false">-E25/E27</f>
        <v>1.21578816050398</v>
      </c>
      <c r="F30" s="47" t="n">
        <f aca="false">-F25/F27</f>
        <v>1.19152152171593</v>
      </c>
      <c r="G30" s="47" t="n">
        <f aca="false">-G25/G27</f>
        <v>1.19374488932198</v>
      </c>
    </row>
    <row r="31" customFormat="false" ht="15" hidden="false" customHeight="false" outlineLevel="0" collapsed="false">
      <c r="A31" s="24" t="s">
        <v>248</v>
      </c>
      <c r="B31" s="26" t="n">
        <f aca="false">B19-B27</f>
        <v>44028</v>
      </c>
      <c r="C31" s="26" t="n">
        <f aca="false">C19-C27</f>
        <v>47600.4237375</v>
      </c>
      <c r="D31" s="26" t="n">
        <f aca="false">D19-D27</f>
        <v>49869.1184640858</v>
      </c>
      <c r="E31" s="26" t="n">
        <f aca="false">E19-E27</f>
        <v>52116.5337489936</v>
      </c>
      <c r="F31" s="26" t="n">
        <f aca="false">F19-F27</f>
        <v>54251.9117752043</v>
      </c>
      <c r="G31" s="26" t="n">
        <f aca="false">G19-G27</f>
        <v>55879.4691284604</v>
      </c>
    </row>
    <row r="33" customFormat="false" ht="15" hidden="false" customHeight="false" outlineLevel="0" collapsed="false">
      <c r="A33" s="4" t="s">
        <v>249</v>
      </c>
      <c r="B33" s="5"/>
      <c r="C33" s="5"/>
      <c r="D33" s="5"/>
      <c r="E33" s="5"/>
      <c r="F33" s="5"/>
      <c r="G33" s="5"/>
      <c r="H33" s="5"/>
    </row>
    <row r="34" customFormat="false" ht="15" hidden="false" customHeight="false" outlineLevel="0" collapsed="false">
      <c r="A34" s="7" t="s">
        <v>250</v>
      </c>
      <c r="B34" s="8" t="n">
        <f aca="false">Historicals!F59</f>
        <v>-20697</v>
      </c>
      <c r="C34" s="26" t="n">
        <f aca="false">C13*C18</f>
        <v>-21334.7971027125</v>
      </c>
      <c r="D34" s="26" t="n">
        <f aca="false">D13*D18</f>
        <v>-22124.1845955129</v>
      </c>
      <c r="E34" s="26" t="n">
        <f aca="false">E13*E18</f>
        <v>-22854.2826871648</v>
      </c>
      <c r="F34" s="26" t="n">
        <f aca="false">F13*F18</f>
        <v>-23539.9111677797</v>
      </c>
      <c r="G34" s="26" t="n">
        <f aca="false">G13*G18</f>
        <v>-24246.1085028131</v>
      </c>
    </row>
    <row r="35" customFormat="false" ht="15" hidden="false" customHeight="false" outlineLevel="0" collapsed="false">
      <c r="A35" s="7" t="s">
        <v>251</v>
      </c>
      <c r="B35" s="8" t="n">
        <f aca="false">Historicals!F32</f>
        <v>142206</v>
      </c>
      <c r="C35" s="26" t="n">
        <f aca="false">C28</f>
        <v>147404.05270965</v>
      </c>
      <c r="D35" s="26" t="n">
        <f aca="false">D28</f>
        <v>152858.002659907</v>
      </c>
      <c r="E35" s="26" t="n">
        <f aca="false">E28</f>
        <v>157902.316747684</v>
      </c>
      <c r="F35" s="26" t="n">
        <f aca="false">F28</f>
        <v>162639.386250114</v>
      </c>
      <c r="G35" s="26" t="n">
        <f aca="false">G28</f>
        <v>167518.567837618</v>
      </c>
    </row>
    <row r="36" customFormat="false" ht="15" hidden="false" customHeight="false" outlineLevel="0" collapsed="false">
      <c r="A36" s="7" t="s">
        <v>82</v>
      </c>
      <c r="B36" s="8" t="n">
        <f aca="false">Historicals!F34</f>
        <v>28735</v>
      </c>
      <c r="C36" s="26" t="n">
        <f aca="false">B36</f>
        <v>28735</v>
      </c>
      <c r="D36" s="26" t="n">
        <f aca="false">C36</f>
        <v>28735</v>
      </c>
      <c r="E36" s="26" t="n">
        <f aca="false">D36</f>
        <v>28735</v>
      </c>
      <c r="F36" s="26" t="n">
        <f aca="false">E36</f>
        <v>28735</v>
      </c>
      <c r="G36" s="26" t="n">
        <f aca="false">F36</f>
        <v>28735</v>
      </c>
      <c r="H36" s="13" t="s">
        <v>252</v>
      </c>
    </row>
    <row r="37" customFormat="false" ht="15" hidden="false" customHeight="false" outlineLevel="0" collapsed="false">
      <c r="A37" s="7" t="s">
        <v>253</v>
      </c>
      <c r="B37" s="8" t="n">
        <f aca="false">Historicals!F62</f>
        <v>-822</v>
      </c>
      <c r="C37" s="26" t="n">
        <f aca="false">B37</f>
        <v>-822</v>
      </c>
      <c r="D37" s="26" t="n">
        <f aca="false">C37</f>
        <v>-822</v>
      </c>
      <c r="E37" s="26" t="n">
        <f aca="false">D37</f>
        <v>-822</v>
      </c>
      <c r="F37" s="26" t="n">
        <f aca="false">E37</f>
        <v>-822</v>
      </c>
      <c r="G37" s="26" t="n">
        <f aca="false">F37</f>
        <v>-822</v>
      </c>
      <c r="H37" s="13" t="s">
        <v>254</v>
      </c>
    </row>
    <row r="38" customFormat="false" ht="15" hidden="false" customHeight="false" outlineLevel="0" collapsed="false">
      <c r="A38" s="7" t="s">
        <v>255</v>
      </c>
      <c r="B38" s="8" t="n">
        <f aca="false">Historicals!F63</f>
        <v>-2446</v>
      </c>
      <c r="C38" s="26" t="n">
        <f aca="false">B38</f>
        <v>-2446</v>
      </c>
      <c r="D38" s="26" t="n">
        <f aca="false">C38</f>
        <v>-2446</v>
      </c>
      <c r="E38" s="26" t="n">
        <f aca="false">D38</f>
        <v>-2446</v>
      </c>
      <c r="F38" s="26" t="n">
        <f aca="false">E38</f>
        <v>-2446</v>
      </c>
      <c r="G38" s="26" t="n">
        <f aca="false">F38</f>
        <v>-2446</v>
      </c>
      <c r="H38" s="13" t="s">
        <v>256</v>
      </c>
    </row>
    <row r="39" customFormat="false" ht="15" hidden="false" customHeight="false" outlineLevel="0" collapsed="false">
      <c r="A39" s="9" t="s">
        <v>113</v>
      </c>
      <c r="B39" s="10" t="n">
        <f aca="false">SUM(B34:B38)</f>
        <v>146976</v>
      </c>
      <c r="C39" s="10" t="n">
        <f aca="false">SUM(C34:C38)</f>
        <v>151536.255606937</v>
      </c>
      <c r="D39" s="10" t="n">
        <f aca="false">SUM(D34:D38)</f>
        <v>156200.818064394</v>
      </c>
      <c r="E39" s="10" t="n">
        <f aca="false">SUM(E34:E38)</f>
        <v>160515.034060519</v>
      </c>
      <c r="F39" s="10" t="n">
        <f aca="false">SUM(F34:F38)</f>
        <v>164566.475082335</v>
      </c>
      <c r="G39" s="10" t="n">
        <f aca="false">SUM(G34:G38)</f>
        <v>168739.459334805</v>
      </c>
    </row>
    <row r="40" customFormat="false" ht="15" hidden="false" customHeight="false" outlineLevel="0" collapsed="false">
      <c r="A40" s="7" t="s">
        <v>257</v>
      </c>
      <c r="B40" s="8" t="n">
        <f aca="false">B39-Historicals!E64</f>
        <v>12531</v>
      </c>
      <c r="C40" s="26" t="n">
        <f aca="false">C39-B39</f>
        <v>4560.25560693748</v>
      </c>
      <c r="D40" s="26" t="n">
        <f aca="false">D39-C39</f>
        <v>4664.56245745666</v>
      </c>
      <c r="E40" s="26" t="n">
        <f aca="false">E39-D39</f>
        <v>4314.21599612501</v>
      </c>
      <c r="F40" s="26" t="n">
        <f aca="false">F39-E39</f>
        <v>4051.44102181558</v>
      </c>
      <c r="G40" s="26" t="n">
        <f aca="false">G39-F39</f>
        <v>4172.98425247005</v>
      </c>
    </row>
    <row r="41" customFormat="false" ht="15" hidden="false" customHeight="false" outlineLevel="0" collapsed="false">
      <c r="A41" s="24" t="s">
        <v>258</v>
      </c>
      <c r="B41" s="42" t="n">
        <f aca="false">B21/B39</f>
        <v>0.153351789017744</v>
      </c>
      <c r="C41" s="42" t="n">
        <f aca="false">C21/C39</f>
        <v>0.156761256294612</v>
      </c>
      <c r="D41" s="42" t="n">
        <f aca="false">D21/D39</f>
        <v>0.160177768148047</v>
      </c>
      <c r="E41" s="42" t="n">
        <f aca="false">E21/E39</f>
        <v>0.163519437552603</v>
      </c>
      <c r="F41" s="42" t="n">
        <f aca="false">F21/F39</f>
        <v>0.166650827338172</v>
      </c>
      <c r="G41" s="42" t="n">
        <f aca="false">G21/G39</f>
        <v>0.167405380535726</v>
      </c>
      <c r="H41" s="13" t="s">
        <v>259</v>
      </c>
    </row>
    <row r="43" customFormat="false" ht="15" hidden="false" customHeight="false" outlineLevel="0" collapsed="false">
      <c r="A43" s="4" t="s">
        <v>260</v>
      </c>
      <c r="B43" s="5"/>
      <c r="C43" s="5"/>
      <c r="D43" s="5"/>
      <c r="E43" s="5"/>
      <c r="F43" s="5"/>
      <c r="G43" s="5"/>
      <c r="H43" s="5"/>
    </row>
    <row r="44" customFormat="false" ht="15" hidden="false" customHeight="false" outlineLevel="0" collapsed="false">
      <c r="A44" s="7" t="s">
        <v>261</v>
      </c>
      <c r="B44" s="26" t="n">
        <f aca="false">B21</f>
        <v>22539.032542672</v>
      </c>
      <c r="C44" s="26" t="n">
        <f aca="false">C21</f>
        <v>23755.013803125</v>
      </c>
      <c r="D44" s="26" t="n">
        <f aca="false">D21</f>
        <v>25019.8984204537</v>
      </c>
      <c r="E44" s="26" t="n">
        <f aca="false">E21</f>
        <v>26247.328088313</v>
      </c>
      <c r="F44" s="26" t="n">
        <f aca="false">F21</f>
        <v>27425.1392245977</v>
      </c>
      <c r="G44" s="26" t="n">
        <f aca="false">G21</f>
        <v>28247.8934013357</v>
      </c>
    </row>
    <row r="45" customFormat="false" ht="15" hidden="false" customHeight="false" outlineLevel="0" collapsed="false">
      <c r="A45" s="7" t="s">
        <v>262</v>
      </c>
      <c r="B45" s="26" t="n">
        <f aca="false">-B27</f>
        <v>14203</v>
      </c>
      <c r="C45" s="26" t="n">
        <f aca="false">-C27</f>
        <v>15927.072</v>
      </c>
      <c r="D45" s="26" t="n">
        <f aca="false">-D27</f>
        <v>16509.2539034808</v>
      </c>
      <c r="E45" s="26" t="n">
        <f aca="false">-E27</f>
        <v>17120.0962979096</v>
      </c>
      <c r="F45" s="26" t="n">
        <f aca="false">-F27</f>
        <v>17685.0594757406</v>
      </c>
      <c r="G45" s="26" t="n">
        <f aca="false">-G27</f>
        <v>18215.6112600128</v>
      </c>
    </row>
    <row r="46" customFormat="false" ht="15" hidden="false" customHeight="false" outlineLevel="0" collapsed="false">
      <c r="A46" s="7" t="s">
        <v>263</v>
      </c>
      <c r="B46" s="26" t="n">
        <f aca="false">-B25</f>
        <v>-26642</v>
      </c>
      <c r="C46" s="26" t="n">
        <f aca="false">-C25</f>
        <v>-19775.12470965</v>
      </c>
      <c r="D46" s="26" t="n">
        <f aca="false">-D25</f>
        <v>-20613.2038537378</v>
      </c>
      <c r="E46" s="26" t="n">
        <f aca="false">-E25</f>
        <v>-20814.4103856865</v>
      </c>
      <c r="F46" s="26" t="n">
        <f aca="false">-F25</f>
        <v>-21072.1289781711</v>
      </c>
      <c r="G46" s="26" t="n">
        <f aca="false">-G25</f>
        <v>-21744.7928475163</v>
      </c>
    </row>
    <row r="47" customFormat="false" ht="15" hidden="false" customHeight="false" outlineLevel="0" collapsed="false">
      <c r="A47" s="7" t="s">
        <v>264</v>
      </c>
      <c r="B47" s="8" t="n">
        <f aca="false">-(B34-Historicals!E59)</f>
        <v>2499</v>
      </c>
      <c r="C47" s="26" t="n">
        <f aca="false">-(C34-B34)</f>
        <v>637.797102712495</v>
      </c>
      <c r="D47" s="26" t="n">
        <f aca="false">-(D34-C34)</f>
        <v>789.387492800364</v>
      </c>
      <c r="E47" s="26" t="n">
        <f aca="false">-(E34-D34)</f>
        <v>730.098091651922</v>
      </c>
      <c r="F47" s="26" t="n">
        <f aca="false">-(F34-E34)</f>
        <v>685.628480614945</v>
      </c>
      <c r="G47" s="26" t="n">
        <f aca="false">-(G34-F34)</f>
        <v>706.19733503339</v>
      </c>
    </row>
    <row r="48" customFormat="false" ht="15" hidden="false" customHeight="false" outlineLevel="0" collapsed="false">
      <c r="A48" s="7" t="s">
        <v>265</v>
      </c>
      <c r="B48" s="8" t="n">
        <f aca="false">-((B36+B37+B38)-(Historicals!E34+Historicals!E62+Historicals!E63))</f>
        <v>1071</v>
      </c>
      <c r="C48" s="26" t="n">
        <f aca="false">-((C36+C37+C38)-(B36+B37+B38))</f>
        <v>-0</v>
      </c>
      <c r="D48" s="26" t="n">
        <f aca="false">-((D36+D37+D38)-(C36+C37+C38))</f>
        <v>-0</v>
      </c>
      <c r="E48" s="26" t="n">
        <f aca="false">-((E36+E37+E38)-(D36+D37+D38))</f>
        <v>-0</v>
      </c>
      <c r="F48" s="26" t="n">
        <f aca="false">-((F36+F37+F38)-(E36+E37+E38))</f>
        <v>-0</v>
      </c>
      <c r="G48" s="26" t="n">
        <f aca="false">-((G36+G37+G38)-(F36+F37+F38))</f>
        <v>-0</v>
      </c>
    </row>
    <row r="49" customFormat="false" ht="15" hidden="false" customHeight="false" outlineLevel="0" collapsed="false">
      <c r="A49" s="9" t="s">
        <v>266</v>
      </c>
      <c r="B49" s="10" t="n">
        <f aca="false">SUM(B44:B48)</f>
        <v>13670.032542672</v>
      </c>
      <c r="C49" s="10" t="n">
        <f aca="false">SUM(C44:C48)</f>
        <v>20544.7581961875</v>
      </c>
      <c r="D49" s="10" t="n">
        <f aca="false">SUM(D44:D48)</f>
        <v>21705.3359629971</v>
      </c>
      <c r="E49" s="10" t="n">
        <f aca="false">SUM(E44:E48)</f>
        <v>23283.112092188</v>
      </c>
      <c r="F49" s="10" t="n">
        <f aca="false">SUM(F44:F48)</f>
        <v>24723.6982027821</v>
      </c>
      <c r="G49" s="10" t="n">
        <f aca="false">SUM(G44:G48)</f>
        <v>25424.9091488656</v>
      </c>
    </row>
    <row r="50" customFormat="false" ht="15" hidden="false" customHeight="false" outlineLevel="0" collapsed="false">
      <c r="A50" s="24" t="s">
        <v>267</v>
      </c>
      <c r="B50" s="26" t="n">
        <f aca="false">B21-B40+B26</f>
        <v>13670.032542672</v>
      </c>
      <c r="C50" s="26" t="n">
        <f aca="false">C21-C40+C26</f>
        <v>20544.7581961875</v>
      </c>
      <c r="D50" s="26" t="n">
        <f aca="false">D21-D40+D26</f>
        <v>21705.3359629971</v>
      </c>
      <c r="E50" s="26" t="n">
        <f aca="false">E21-E40+E26</f>
        <v>23283.112092188</v>
      </c>
      <c r="F50" s="26" t="n">
        <f aca="false">F21-F40+F26</f>
        <v>24723.6982027822</v>
      </c>
      <c r="G50" s="26" t="n">
        <f aca="false">G21-G40+G26</f>
        <v>25424.9091488656</v>
      </c>
      <c r="H50" s="13" t="s">
        <v>268</v>
      </c>
    </row>
    <row r="51" customFormat="false" ht="15" hidden="false" customHeight="false" outlineLevel="0" collapsed="false">
      <c r="A51" s="24" t="s">
        <v>269</v>
      </c>
      <c r="B51" s="26" t="n">
        <f aca="false">B50-B49</f>
        <v>0</v>
      </c>
      <c r="C51" s="26" t="n">
        <f aca="false">C50-C49</f>
        <v>0</v>
      </c>
      <c r="D51" s="26" t="n">
        <f aca="false">D50-D49</f>
        <v>0</v>
      </c>
      <c r="E51" s="26" t="n">
        <f aca="false">E50-E49</f>
        <v>0</v>
      </c>
      <c r="F51" s="26" t="n">
        <f aca="false">F50-F49</f>
        <v>0</v>
      </c>
      <c r="G51" s="26" t="n">
        <f aca="false">G50-G49</f>
        <v>0</v>
      </c>
    </row>
    <row r="53" customFormat="false" ht="15" hidden="false" customHeight="false" outlineLevel="0" collapsed="false">
      <c r="A53" s="7" t="s">
        <v>270</v>
      </c>
      <c r="C53" s="29" t="n">
        <v>1</v>
      </c>
      <c r="D53" s="29" t="n">
        <v>2</v>
      </c>
      <c r="E53" s="29" t="n">
        <v>3</v>
      </c>
      <c r="F53" s="29" t="n">
        <v>4</v>
      </c>
      <c r="G53" s="29" t="n">
        <v>5</v>
      </c>
    </row>
    <row r="54" customFormat="false" ht="15" hidden="false" customHeight="false" outlineLevel="0" collapsed="false">
      <c r="A54" s="7" t="s">
        <v>271</v>
      </c>
      <c r="C54" s="48" t="n">
        <f aca="false">1/(1+WACC!$B$33)^C53</f>
        <v>0.928312606536488</v>
      </c>
      <c r="D54" s="48" t="n">
        <f aca="false">1/(1+WACC!$B$33)^D53</f>
        <v>0.861764295454568</v>
      </c>
      <c r="E54" s="48" t="n">
        <f aca="false">1/(1+WACC!$B$33)^E53</f>
        <v>0.799986659333509</v>
      </c>
      <c r="F54" s="48" t="n">
        <f aca="false">1/(1+WACC!$B$33)^F53</f>
        <v>0.742637700920307</v>
      </c>
      <c r="G54" s="48" t="n">
        <f aca="false">1/(1+WACC!$B$33)^G53</f>
        <v>0.689399939853595</v>
      </c>
    </row>
    <row r="55" customFormat="false" ht="15" hidden="false" customHeight="false" outlineLevel="0" collapsed="false">
      <c r="A55" s="9" t="s">
        <v>272</v>
      </c>
      <c r="C55" s="10" t="n">
        <f aca="false">C49*C54</f>
        <v>19071.9580317647</v>
      </c>
      <c r="D55" s="10" t="n">
        <f aca="false">D49*D54</f>
        <v>18704.8835537569</v>
      </c>
      <c r="E55" s="10" t="n">
        <f aca="false">E49*E54</f>
        <v>18626.1790615171</v>
      </c>
      <c r="F55" s="10" t="n">
        <f aca="false">F49*F54</f>
        <v>18360.7503915617</v>
      </c>
      <c r="G55" s="10" t="n">
        <f aca="false">G49*G54</f>
        <v>17527.9308380111</v>
      </c>
    </row>
    <row r="57" customFormat="false" ht="15" hidden="false" customHeight="false" outlineLevel="0" collapsed="false">
      <c r="A57" s="4" t="s">
        <v>273</v>
      </c>
      <c r="B57" s="5"/>
      <c r="C57" s="5"/>
      <c r="D57" s="5"/>
      <c r="E57" s="5"/>
      <c r="F57" s="5"/>
      <c r="G57" s="5"/>
      <c r="H57" s="5"/>
    </row>
    <row r="58" customFormat="false" ht="23.85" hidden="false" customHeight="false" outlineLevel="0" collapsed="false">
      <c r="C58" s="6" t="s">
        <v>3</v>
      </c>
      <c r="D58" s="6" t="s">
        <v>4</v>
      </c>
    </row>
    <row r="59" customFormat="false" ht="15" hidden="false" customHeight="false" outlineLevel="0" collapsed="false">
      <c r="A59" s="7" t="s">
        <v>16</v>
      </c>
      <c r="C59" s="44" t="n">
        <v>0.03</v>
      </c>
      <c r="H59" s="13" t="s">
        <v>274</v>
      </c>
    </row>
    <row r="60" customFormat="false" ht="15" hidden="false" customHeight="false" outlineLevel="0" collapsed="false">
      <c r="A60" s="7" t="s">
        <v>275</v>
      </c>
      <c r="D60" s="49" t="n">
        <v>12</v>
      </c>
      <c r="H60" s="13" t="s">
        <v>276</v>
      </c>
    </row>
    <row r="61" customFormat="false" ht="15" hidden="false" customHeight="false" outlineLevel="0" collapsed="false">
      <c r="A61" s="7" t="s">
        <v>277</v>
      </c>
      <c r="C61" s="50" t="n">
        <f aca="false">G49</f>
        <v>25424.9091488656</v>
      </c>
    </row>
    <row r="62" customFormat="false" ht="15" hidden="false" customHeight="false" outlineLevel="0" collapsed="false">
      <c r="A62" s="7" t="s">
        <v>278</v>
      </c>
      <c r="D62" s="50" t="n">
        <f aca="false">G31</f>
        <v>55879.4691284604</v>
      </c>
    </row>
    <row r="63" customFormat="false" ht="15" hidden="false" customHeight="false" outlineLevel="0" collapsed="false">
      <c r="A63" s="9" t="s">
        <v>279</v>
      </c>
      <c r="C63" s="10" t="n">
        <f aca="false">C61*(1+C59)/(WACC!$B$33-C59)</f>
        <v>554549.092725312</v>
      </c>
      <c r="D63" s="10" t="n">
        <f aca="false">D62*D60</f>
        <v>670553.629541525</v>
      </c>
    </row>
    <row r="64" customFormat="false" ht="15" hidden="false" customHeight="false" outlineLevel="0" collapsed="false">
      <c r="A64" s="7" t="s">
        <v>280</v>
      </c>
      <c r="C64" s="48" t="n">
        <f aca="false">G54</f>
        <v>0.689399939853595</v>
      </c>
      <c r="D64" s="48" t="n">
        <f aca="false">G54</f>
        <v>0.689399939853595</v>
      </c>
    </row>
    <row r="65" customFormat="false" ht="15" hidden="false" customHeight="false" outlineLevel="0" collapsed="false">
      <c r="A65" s="9" t="s">
        <v>281</v>
      </c>
      <c r="C65" s="10" t="n">
        <f aca="false">C63*C64</f>
        <v>382306.111170696</v>
      </c>
      <c r="D65" s="10" t="n">
        <f aca="false">D63*D64</f>
        <v>462279.631874537</v>
      </c>
    </row>
    <row r="67" customFormat="false" ht="15" hidden="false" customHeight="false" outlineLevel="0" collapsed="false">
      <c r="A67" s="4" t="s">
        <v>282</v>
      </c>
      <c r="B67" s="5"/>
      <c r="C67" s="5"/>
      <c r="D67" s="5"/>
      <c r="E67" s="5"/>
      <c r="F67" s="5"/>
      <c r="G67" s="5"/>
      <c r="H67" s="5"/>
    </row>
    <row r="68" customFormat="false" ht="23.85" hidden="false" customHeight="false" outlineLevel="0" collapsed="false">
      <c r="C68" s="6" t="s">
        <v>3</v>
      </c>
      <c r="D68" s="6" t="s">
        <v>4</v>
      </c>
    </row>
    <row r="69" customFormat="false" ht="15" hidden="false" customHeight="false" outlineLevel="0" collapsed="false">
      <c r="A69" s="7" t="s">
        <v>283</v>
      </c>
      <c r="C69" s="26" t="n">
        <f aca="false">SUM(C55:G55)</f>
        <v>92291.7018766114</v>
      </c>
      <c r="D69" s="26" t="n">
        <f aca="false">C69</f>
        <v>92291.7018766114</v>
      </c>
    </row>
    <row r="70" customFormat="false" ht="15" hidden="false" customHeight="false" outlineLevel="0" collapsed="false">
      <c r="A70" s="7" t="s">
        <v>284</v>
      </c>
      <c r="C70" s="26" t="n">
        <f aca="false">C65</f>
        <v>382306.111170696</v>
      </c>
      <c r="D70" s="26" t="n">
        <f aca="false">D65</f>
        <v>462279.631874537</v>
      </c>
    </row>
    <row r="71" customFormat="false" ht="15" hidden="false" customHeight="false" outlineLevel="0" collapsed="false">
      <c r="A71" s="9" t="s">
        <v>285</v>
      </c>
      <c r="C71" s="10" t="n">
        <f aca="false">C69+C70</f>
        <v>474597.813047307</v>
      </c>
      <c r="D71" s="10" t="n">
        <f aca="false">D69+D70</f>
        <v>554571.333751148</v>
      </c>
      <c r="H71" s="13" t="s">
        <v>286</v>
      </c>
    </row>
    <row r="72" customFormat="false" ht="15" hidden="false" customHeight="false" outlineLevel="0" collapsed="false">
      <c r="A72" s="7" t="s">
        <v>287</v>
      </c>
      <c r="C72" s="8" t="n">
        <f aca="false">-Historicals!F55</f>
        <v>-51523</v>
      </c>
      <c r="D72" s="8" t="n">
        <f aca="false">C72</f>
        <v>-51523</v>
      </c>
    </row>
    <row r="73" customFormat="false" ht="15" hidden="false" customHeight="false" outlineLevel="0" collapsed="false">
      <c r="A73" s="7" t="s">
        <v>288</v>
      </c>
      <c r="C73" s="8" t="n">
        <f aca="false">Historicals!F27</f>
        <v>10727</v>
      </c>
      <c r="D73" s="8" t="n">
        <f aca="false">C73</f>
        <v>10727</v>
      </c>
    </row>
    <row r="74" customFormat="false" ht="15" hidden="false" customHeight="false" outlineLevel="0" collapsed="false">
      <c r="A74" s="7" t="s">
        <v>289</v>
      </c>
      <c r="C74" s="8" t="n">
        <f aca="false">Historicals!F63</f>
        <v>-2446</v>
      </c>
      <c r="D74" s="8" t="n">
        <f aca="false">C74</f>
        <v>-2446</v>
      </c>
      <c r="H74" s="13" t="s">
        <v>290</v>
      </c>
    </row>
    <row r="75" customFormat="false" ht="15" hidden="false" customHeight="false" outlineLevel="0" collapsed="false">
      <c r="A75" s="7" t="s">
        <v>291</v>
      </c>
      <c r="C75" s="8" t="n">
        <f aca="false">-Historicals!F49</f>
        <v>-6563</v>
      </c>
      <c r="D75" s="8" t="n">
        <f aca="false">C75</f>
        <v>-6563</v>
      </c>
    </row>
    <row r="76" customFormat="false" ht="15" hidden="false" customHeight="false" outlineLevel="0" collapsed="false">
      <c r="A76" s="9" t="s">
        <v>292</v>
      </c>
      <c r="C76" s="10" t="n">
        <f aca="false">SUM(C71:C75)</f>
        <v>424792.813047307</v>
      </c>
      <c r="D76" s="10" t="n">
        <f aca="false">SUM(D71:D75)</f>
        <v>504766.333751148</v>
      </c>
    </row>
    <row r="77" customFormat="false" ht="15" hidden="false" customHeight="false" outlineLevel="0" collapsed="false">
      <c r="A77" s="7" t="s">
        <v>8</v>
      </c>
      <c r="C77" s="11" t="n">
        <f aca="false">WACC!$B$6</f>
        <v>8022</v>
      </c>
      <c r="D77" s="11" t="n">
        <f aca="false">C77</f>
        <v>8022</v>
      </c>
    </row>
    <row r="78" customFormat="false" ht="15" hidden="false" customHeight="false" outlineLevel="0" collapsed="false">
      <c r="A78" s="9" t="s">
        <v>9</v>
      </c>
      <c r="C78" s="51" t="n">
        <f aca="false">C76/C77</f>
        <v>52.9534795621176</v>
      </c>
      <c r="D78" s="51" t="n">
        <f aca="false">D76/D77</f>
        <v>62.9227541449948</v>
      </c>
    </row>
    <row r="80" customFormat="false" ht="15" hidden="false" customHeight="false" outlineLevel="0" collapsed="false">
      <c r="A80" s="7" t="s">
        <v>11</v>
      </c>
      <c r="C80" s="14" t="n">
        <f aca="false">WACC!$B$5</f>
        <v>108.09</v>
      </c>
      <c r="D80" s="14" t="n">
        <f aca="false">C80</f>
        <v>108.09</v>
      </c>
    </row>
    <row r="81" customFormat="false" ht="15" hidden="false" customHeight="false" outlineLevel="0" collapsed="false">
      <c r="A81" s="9" t="s">
        <v>12</v>
      </c>
      <c r="C81" s="52" t="n">
        <f aca="false">C78/C80-1</f>
        <v>-0.51009825550821</v>
      </c>
      <c r="D81" s="52" t="n">
        <f aca="false">D78/D80-1</f>
        <v>-0.417867016884127</v>
      </c>
    </row>
    <row r="83" customFormat="false" ht="15" hidden="false" customHeight="false" outlineLevel="0" collapsed="false">
      <c r="A83" s="24" t="s">
        <v>293</v>
      </c>
      <c r="C83" s="53" t="n">
        <f aca="false">C70/C71</f>
        <v>0.805537026637306</v>
      </c>
      <c r="D83" s="53" t="n">
        <f aca="false">D70/D71</f>
        <v>0.83358010726529</v>
      </c>
    </row>
    <row r="84" customFormat="false" ht="15" hidden="false" customHeight="false" outlineLevel="0" collapsed="false">
      <c r="A84" s="24" t="s">
        <v>294</v>
      </c>
      <c r="C84" s="54" t="n">
        <f aca="false">C71/Historicals!F14</f>
        <v>10.7794542801696</v>
      </c>
      <c r="D84" s="54" t="n">
        <f aca="false">D71/Historicals!F14</f>
        <v>12.5958783899143</v>
      </c>
    </row>
    <row r="85" customFormat="false" ht="15" hidden="false" customHeight="false" outlineLevel="0" collapsed="false">
      <c r="A85" s="24" t="s">
        <v>295</v>
      </c>
      <c r="C85" s="54" t="n">
        <f aca="false">C78/Historicals!F24</f>
        <v>19.4031340175996</v>
      </c>
      <c r="D85" s="54" t="n">
        <f aca="false">D78/Historicals!F24</f>
        <v>23.0560605559379</v>
      </c>
    </row>
    <row r="86" customFormat="false" ht="15" hidden="false" customHeight="false" outlineLevel="0" collapsed="false">
      <c r="A86" s="24" t="s">
        <v>296</v>
      </c>
      <c r="C86" s="53" t="n">
        <f aca="false">G41</f>
        <v>0.167405380535726</v>
      </c>
      <c r="D86" s="53" t="n">
        <f aca="false">G41</f>
        <v>0.167405380535726</v>
      </c>
    </row>
    <row r="88" customFormat="false" ht="15" hidden="false" customHeight="false" outlineLevel="0" collapsed="false">
      <c r="A88" s="13" t="s">
        <v>297</v>
      </c>
    </row>
    <row r="89" customFormat="false" ht="15" hidden="false" customHeight="false" outlineLevel="0" collapsed="false">
      <c r="A89" s="13" t="s">
        <v>298</v>
      </c>
    </row>
    <row r="90" customFormat="false" ht="15" hidden="false" customHeight="false" outlineLevel="0" collapsed="false">
      <c r="A90" s="13" t="s">
        <v>299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8" min="2" style="0" width="13"/>
    <col collapsed="false" customWidth="true" hidden="false" outlineLevel="0" max="9" min="9" style="0" width="46"/>
  </cols>
  <sheetData>
    <row r="1" customFormat="false" ht="21.75" hidden="false" customHeight="true" outlineLevel="0" collapsed="false">
      <c r="A1" s="1" t="s">
        <v>300</v>
      </c>
      <c r="B1" s="2"/>
      <c r="C1" s="2"/>
      <c r="D1" s="2"/>
      <c r="E1" s="2"/>
      <c r="F1" s="2"/>
      <c r="G1" s="2"/>
      <c r="H1" s="2"/>
      <c r="I1" s="2"/>
    </row>
    <row r="2" customFormat="false" ht="15" hidden="false" customHeight="false" outlineLevel="0" collapsed="false">
      <c r="A2" s="3" t="s">
        <v>301</v>
      </c>
    </row>
    <row r="4" customFormat="false" ht="15" hidden="false" customHeight="false" outlineLevel="0" collapsed="false">
      <c r="A4" s="4" t="s">
        <v>302</v>
      </c>
      <c r="B4" s="5"/>
      <c r="C4" s="5"/>
      <c r="D4" s="5"/>
      <c r="E4" s="5"/>
      <c r="F4" s="5"/>
      <c r="G4" s="5"/>
      <c r="H4" s="5"/>
    </row>
    <row r="6" customFormat="false" ht="15" hidden="false" customHeight="false" outlineLevel="0" collapsed="false">
      <c r="A6" s="9" t="s">
        <v>303</v>
      </c>
    </row>
    <row r="7" customFormat="false" ht="15" hidden="false" customHeight="false" outlineLevel="0" collapsed="false">
      <c r="B7" s="22" t="s">
        <v>304</v>
      </c>
      <c r="C7" s="55" t="n">
        <v>0.02</v>
      </c>
      <c r="D7" s="55" t="n">
        <v>0.025</v>
      </c>
      <c r="E7" s="55" t="n">
        <v>0.03</v>
      </c>
      <c r="F7" s="55" t="n">
        <v>0.035</v>
      </c>
      <c r="G7" s="55" t="n">
        <v>0.04</v>
      </c>
    </row>
    <row r="8" customFormat="false" ht="15" hidden="false" customHeight="false" outlineLevel="0" collapsed="false">
      <c r="B8" s="56" t="n">
        <v>0.065</v>
      </c>
      <c r="C8" s="57" t="n">
        <f aca="false">IF($B8&lt;=$C$7,"n/m",(NPV($B8,DCF!$C$49:$G$49)+DCF!$G$49*(1+C$7)/($B8-C$7)/(1+$B8)^5-Historicals!$F$55+Historicals!$F$27+Historicals!$F$63-Historicals!$F$49)/WACC!$B$6)</f>
        <v>58.1278665440068</v>
      </c>
      <c r="D8" s="57" t="n">
        <f aca="false">IF($B8&lt;=$D$7,"n/m",(NPV($B8,DCF!$C$49:$G$49)+DCF!$G$49*(1+D$7)/($B8-D$7)/(1+$B8)^5-Historicals!$F$55+Historicals!$F$27+Historicals!$F$63-Historicals!$F$49)/WACC!$B$6)</f>
        <v>64.9713279159686</v>
      </c>
      <c r="E8" s="57" t="n">
        <f aca="false">IF($B8&lt;=$E$7,"n/m",(NPV($B8,DCF!$C$49:$G$49)+DCF!$G$49*(1+E$7)/($B8-E$7)/(1+$B8)^5-Historicals!$F$55+Historicals!$F$27+Historicals!$F$63-Historicals!$F$49)/WACC!$B$6)</f>
        <v>73.7700639656339</v>
      </c>
      <c r="F8" s="57" t="n">
        <f aca="false">IF($B8&lt;=$F$7,"n/m",(NPV($B8,DCF!$C$49:$G$49)+DCF!$G$49*(1+F$7)/($B8-F$7)/(1+$B8)^5-Historicals!$F$55+Historicals!$F$27+Historicals!$F$63-Historicals!$F$49)/WACC!$B$6)</f>
        <v>85.5017120318543</v>
      </c>
      <c r="G8" s="57" t="n">
        <f aca="false">IF($B8&lt;=$G$7,"n/m",(NPV($B8,DCF!$C$49:$G$49)+DCF!$G$49*(1+G$7)/($B8-G$7)/(1+$B8)^5-Historicals!$F$55+Historicals!$F$27+Historicals!$F$63-Historicals!$F$49)/WACC!$B$6)</f>
        <v>101.926019324563</v>
      </c>
    </row>
    <row r="9" customFormat="false" ht="15" hidden="false" customHeight="false" outlineLevel="0" collapsed="false">
      <c r="B9" s="56" t="n">
        <v>0.07</v>
      </c>
      <c r="C9" s="57" t="n">
        <f aca="false">IF($B9&lt;=$C$7,"n/m",(NPV($B9,DCF!$C$49:$G$49)+DCF!$G$49*(1+C$7)/($B9-C$7)/(1+$B9)^5-Historicals!$F$55+Historicals!$F$27+Historicals!$F$63-Historicals!$F$49)/WACC!$B$6)</f>
        <v>51.6270711436505</v>
      </c>
      <c r="D9" s="57" t="n">
        <f aca="false">IF($B9&lt;=$D$7,"n/m",(NPV($B9,DCF!$C$49:$G$49)+DCF!$G$49*(1+D$7)/($B9-D$7)/(1+$B9)^5-Historicals!$F$55+Historicals!$F$27+Historicals!$F$63-Historicals!$F$49)/WACC!$B$6)</f>
        <v>57.0002231579481</v>
      </c>
      <c r="E9" s="57" t="n">
        <f aca="false">IF($B9&lt;=$E$7,"n/m",(NPV($B9,DCF!$C$49:$G$49)+DCF!$G$49*(1+E$7)/($B9-E$7)/(1+$B9)^5-Historicals!$F$55+Historicals!$F$27+Historicals!$F$63-Historicals!$F$49)/WACC!$B$6)</f>
        <v>63.71666317582</v>
      </c>
      <c r="F9" s="57" t="n">
        <f aca="false">IF($B9&lt;=$F$7,"n/m",(NPV($B9,DCF!$C$49:$G$49)+DCF!$G$49*(1+F$7)/($B9-F$7)/(1+$B9)^5-Historicals!$F$55+Historicals!$F$27+Historicals!$F$63-Historicals!$F$49)/WACC!$B$6)</f>
        <v>72.3520860559412</v>
      </c>
      <c r="G9" s="57" t="n">
        <f aca="false">IF($B9&lt;=$G$7,"n/m",(NPV($B9,DCF!$C$49:$G$49)+DCF!$G$49*(1+G$7)/($B9-G$7)/(1+$B9)^5-Historicals!$F$55+Historicals!$F$27+Historicals!$F$63-Historicals!$F$49)/WACC!$B$6)</f>
        <v>83.865983229436</v>
      </c>
    </row>
    <row r="10" customFormat="false" ht="15" hidden="false" customHeight="false" outlineLevel="0" collapsed="false">
      <c r="B10" s="56" t="n">
        <v>0.075</v>
      </c>
      <c r="C10" s="57" t="n">
        <f aca="false">IF($B10&lt;=$C$7,"n/m",(NPV($B10,DCF!$C$49:$G$49)+DCF!$G$49*(1+C$7)/($B10-C$7)/(1+$B10)^5-Historicals!$F$55+Historicals!$F$27+Historicals!$F$63-Historicals!$F$49)/WACC!$B$6)</f>
        <v>46.3092333219153</v>
      </c>
      <c r="D10" s="57" t="n">
        <f aca="false">IF($B10&lt;=$D$7,"n/m",(NPV($B10,DCF!$C$49:$G$49)+DCF!$G$49*(1+D$7)/($B10-D$7)/(1+$B10)^5-Historicals!$F$55+Historicals!$F$27+Historicals!$F$63-Historicals!$F$49)/WACC!$B$6)</f>
        <v>50.6242274154732</v>
      </c>
      <c r="E10" s="57" t="n">
        <f aca="false">IF($B10&lt;=$E$7,"n/m",(NPV($B10,DCF!$C$49:$G$49)+DCF!$G$49*(1+E$7)/($B10-E$7)/(1+$B10)^5-Historicals!$F$55+Historicals!$F$27+Historicals!$F$63-Historicals!$F$49)/WACC!$B$6)</f>
        <v>55.8981090853772</v>
      </c>
      <c r="F10" s="57" t="n">
        <f aca="false">IF($B10&lt;=$F$7,"n/m",(NPV($B10,DCF!$C$49:$G$49)+DCF!$G$49*(1+F$7)/($B10-F$7)/(1+$B10)^5-Historicals!$F$55+Historicals!$F$27+Historicals!$F$63-Historicals!$F$49)/WACC!$B$6)</f>
        <v>62.4904611727574</v>
      </c>
      <c r="G10" s="57" t="n">
        <f aca="false">IF($B10&lt;=$G$7,"n/m",(NPV($B10,DCF!$C$49:$G$49)+DCF!$G$49*(1+G$7)/($B10-G$7)/(1+$B10)^5-Historicals!$F$55+Historicals!$F$27+Historicals!$F$63-Historicals!$F$49)/WACC!$B$6)</f>
        <v>70.9663424279604</v>
      </c>
    </row>
    <row r="11" customFormat="false" ht="15" hidden="false" customHeight="false" outlineLevel="0" collapsed="false">
      <c r="B11" s="56" t="n">
        <v>0.0772</v>
      </c>
      <c r="C11" s="57" t="n">
        <f aca="false">IF($B11&lt;=$C$7,"n/m",(NPV($B11,DCF!$C$49:$G$49)+DCF!$G$49*(1+C$7)/($B11-C$7)/(1+$B11)^5-Historicals!$F$55+Historicals!$F$27+Historicals!$F$63-Historicals!$F$49)/WACC!$B$6)</f>
        <v>44.2642087255904</v>
      </c>
      <c r="D11" s="57" t="n">
        <f aca="false">IF($B11&lt;=$D$7,"n/m",(NPV($B11,DCF!$C$49:$G$49)+DCF!$G$49*(1+D$7)/($B11-D$7)/(1+$B11)^5-Historicals!$F$55+Historicals!$F$27+Historicals!$F$63-Historicals!$F$49)/WACC!$B$6)</f>
        <v>48.2060110899832</v>
      </c>
      <c r="E11" s="57" t="n">
        <f aca="false">IF($B11&lt;=$E$7,"n/m",(NPV($B11,DCF!$C$49:$G$49)+DCF!$G$49*(1+E$7)/($B11-E$7)/(1+$B11)^5-Historicals!$F$55+Historicals!$F$27+Historicals!$F$63-Historicals!$F$49)/WACC!$B$6)</f>
        <v>52.9829410739509</v>
      </c>
      <c r="F11" s="57" t="n">
        <f aca="false">IF($B11&lt;=$F$7,"n/m",(NPV($B11,DCF!$C$49:$G$49)+DCF!$G$49*(1+F$7)/($B11-F$7)/(1+$B11)^5-Historicals!$F$55+Historicals!$F$27+Historicals!$F$63-Historicals!$F$49)/WACC!$B$6)</f>
        <v>58.8918449877686</v>
      </c>
      <c r="G11" s="57" t="n">
        <f aca="false">IF($B11&lt;=$G$7,"n/m",(NPV($B11,DCF!$C$49:$G$49)+DCF!$G$49*(1+G$7)/($B11-G$7)/(1+$B11)^5-Historicals!$F$55+Historicals!$F$27+Historicals!$F$63-Historicals!$F$49)/WACC!$B$6)</f>
        <v>66.3891639321826</v>
      </c>
    </row>
    <row r="12" customFormat="false" ht="15" hidden="false" customHeight="false" outlineLevel="0" collapsed="false">
      <c r="B12" s="56" t="n">
        <v>0.08</v>
      </c>
      <c r="C12" s="57" t="n">
        <f aca="false">IF($B12&lt;=$C$7,"n/m",(NPV($B12,DCF!$C$49:$G$49)+DCF!$G$49*(1+C$7)/($B12-C$7)/(1+$B12)^5-Historicals!$F$55+Historicals!$F$27+Historicals!$F$63-Historicals!$F$49)/WACC!$B$6)</f>
        <v>41.878593846427</v>
      </c>
      <c r="D12" s="57" t="n">
        <f aca="false">IF($B12&lt;=$D$7,"n/m",(NPV($B12,DCF!$C$49:$G$49)+DCF!$G$49*(1+D$7)/($B12-D$7)/(1+$B12)^5-Historicals!$F$55+Historicals!$F$27+Historicals!$F$63-Historicals!$F$49)/WACC!$B$6)</f>
        <v>45.4082938436041</v>
      </c>
      <c r="E12" s="57" t="n">
        <f aca="false">IF($B12&lt;=$E$7,"n/m",(NPV($B12,DCF!$C$49:$G$49)+DCF!$G$49*(1+E$7)/($B12-E$7)/(1+$B12)^5-Historicals!$F$55+Historicals!$F$27+Historicals!$F$63-Historicals!$F$49)/WACC!$B$6)</f>
        <v>49.6439338402165</v>
      </c>
      <c r="F12" s="57" t="n">
        <f aca="false">IF($B12&lt;=$F$7,"n/m",(NPV($B12,DCF!$C$49:$G$49)+DCF!$G$49*(1+F$7)/($B12-F$7)/(1+$B12)^5-Historicals!$F$55+Historicals!$F$27+Historicals!$F$63-Historicals!$F$49)/WACC!$B$6)</f>
        <v>54.8208271694096</v>
      </c>
      <c r="G12" s="57" t="n">
        <f aca="false">IF($B12&lt;=$G$7,"n/m",(NPV($B12,DCF!$C$49:$G$49)+DCF!$G$49*(1+G$7)/($B12-G$7)/(1+$B12)^5-Historicals!$F$55+Historicals!$F$27+Historicals!$F$63-Historicals!$F$49)/WACC!$B$6)</f>
        <v>61.2919438309009</v>
      </c>
    </row>
    <row r="13" customFormat="false" ht="15" hidden="false" customHeight="false" outlineLevel="0" collapsed="false">
      <c r="B13" s="56" t="n">
        <v>0.085</v>
      </c>
      <c r="C13" s="57" t="n">
        <f aca="false">IF($B13&lt;=$C$7,"n/m",(NPV($B13,DCF!$C$49:$G$49)+DCF!$G$49*(1+C$7)/($B13-C$7)/(1+$B13)^5-Historicals!$F$55+Historicals!$F$27+Historicals!$F$63-Historicals!$F$49)/WACC!$B$6)</f>
        <v>38.1303968175348</v>
      </c>
      <c r="D13" s="57" t="n">
        <f aca="false">IF($B13&lt;=$D$7,"n/m",(NPV($B13,DCF!$C$49:$G$49)+DCF!$G$49*(1+D$7)/($B13-D$7)/(1+$B13)^5-Historicals!$F$55+Historicals!$F$27+Historicals!$F$63-Historicals!$F$49)/WACC!$B$6)</f>
        <v>41.0623916237521</v>
      </c>
      <c r="E13" s="57" t="n">
        <f aca="false">IF($B13&lt;=$E$7,"n/m",(NPV($B13,DCF!$C$49:$G$49)+DCF!$G$49*(1+E$7)/($B13-E$7)/(1+$B13)^5-Historicals!$F$55+Historicals!$F$27+Historicals!$F$63-Historicals!$F$49)/WACC!$B$6)</f>
        <v>44.5274763947362</v>
      </c>
      <c r="F13" s="57" t="n">
        <f aca="false">IF($B13&lt;=$F$7,"n/m",(NPV($B13,DCF!$C$49:$G$49)+DCF!$G$49*(1+F$7)/($B13-F$7)/(1+$B13)^5-Historicals!$F$55+Historicals!$F$27+Historicals!$F$63-Historicals!$F$49)/WACC!$B$6)</f>
        <v>48.685578119917</v>
      </c>
      <c r="G13" s="57" t="n">
        <f aca="false">IF($B13&lt;=$G$7,"n/m",(NPV($B13,DCF!$C$49:$G$49)+DCF!$G$49*(1+G$7)/($B13-G$7)/(1+$B13)^5-Historicals!$F$55+Historicals!$F$27+Historicals!$F$63-Historicals!$F$49)/WACC!$B$6)</f>
        <v>53.7677024506936</v>
      </c>
    </row>
    <row r="14" customFormat="false" ht="15" hidden="false" customHeight="false" outlineLevel="0" collapsed="false">
      <c r="B14" s="56" t="n">
        <v>0.09</v>
      </c>
      <c r="C14" s="57" t="n">
        <f aca="false">IF($B14&lt;=$C$7,"n/m",(NPV($B14,DCF!$C$49:$G$49)+DCF!$G$49*(1+C$7)/($B14-C$7)/(1+$B14)^5-Historicals!$F$55+Historicals!$F$27+Historicals!$F$63-Historicals!$F$49)/WACC!$B$6)</f>
        <v>34.9183884635362</v>
      </c>
      <c r="D14" s="57" t="n">
        <f aca="false">IF($B14&lt;=$D$7,"n/m",(NPV($B14,DCF!$C$49:$G$49)+DCF!$G$49*(1+D$7)/($B14-D$7)/(1+$B14)^5-Historicals!$F$55+Historicals!$F$27+Historicals!$F$63-Historicals!$F$49)/WACC!$B$6)</f>
        <v>37.385730557133</v>
      </c>
      <c r="E14" s="57" t="n">
        <f aca="false">IF($B14&lt;=$E$7,"n/m",(NPV($B14,DCF!$C$49:$G$49)+DCF!$G$49*(1+E$7)/($B14-E$7)/(1+$B14)^5-Historicals!$F$55+Historicals!$F$27+Historicals!$F$63-Historicals!$F$49)/WACC!$B$6)</f>
        <v>40.2642963329959</v>
      </c>
      <c r="F14" s="57" t="n">
        <f aca="false">IF($B14&lt;=$F$7,"n/m",(NPV($B14,DCF!$C$49:$G$49)+DCF!$G$49*(1+F$7)/($B14-F$7)/(1+$B14)^5-Historicals!$F$55+Historicals!$F$27+Historicals!$F$63-Historicals!$F$49)/WACC!$B$6)</f>
        <v>43.6662377044703</v>
      </c>
      <c r="G14" s="57" t="n">
        <f aca="false">IF($B14&lt;=$G$7,"n/m",(NPV($B14,DCF!$C$49:$G$49)+DCF!$G$49*(1+G$7)/($B14-G$7)/(1+$B14)^5-Historicals!$F$55+Historicals!$F$27+Historicals!$F$63-Historicals!$F$49)/WACC!$B$6)</f>
        <v>47.7485673502396</v>
      </c>
    </row>
    <row r="16" customFormat="false" ht="15" hidden="false" customHeight="false" outlineLevel="0" collapsed="false">
      <c r="A16" s="13" t="s">
        <v>305</v>
      </c>
    </row>
    <row r="19" customFormat="false" ht="15" hidden="false" customHeight="false" outlineLevel="0" collapsed="false">
      <c r="A19" s="4" t="s">
        <v>306</v>
      </c>
      <c r="B19" s="5"/>
      <c r="C19" s="5"/>
      <c r="D19" s="5"/>
      <c r="E19" s="5"/>
      <c r="F19" s="5"/>
      <c r="G19" s="5"/>
      <c r="H19" s="5"/>
    </row>
    <row r="20" customFormat="false" ht="15" hidden="false" customHeight="false" outlineLevel="0" collapsed="false">
      <c r="A20" s="7" t="s">
        <v>307</v>
      </c>
      <c r="B20" s="26" t="n">
        <f aca="false">WACC!$B$12</f>
        <v>914456.98</v>
      </c>
      <c r="C20" s="13" t="s">
        <v>308</v>
      </c>
    </row>
    <row r="21" customFormat="false" ht="15" hidden="false" customHeight="false" outlineLevel="0" collapsed="false">
      <c r="A21" s="7" t="s">
        <v>309</v>
      </c>
      <c r="B21" s="26" t="n">
        <f aca="false">-DCF!$C$69</f>
        <v>-92291.7018766114</v>
      </c>
    </row>
    <row r="22" customFormat="false" ht="15" hidden="false" customHeight="false" outlineLevel="0" collapsed="false">
      <c r="A22" s="9" t="s">
        <v>310</v>
      </c>
      <c r="B22" s="10" t="n">
        <f aca="false">B20+B21</f>
        <v>822165.278123389</v>
      </c>
    </row>
    <row r="23" customFormat="false" ht="15" hidden="false" customHeight="false" outlineLevel="0" collapsed="false">
      <c r="A23" s="7" t="s">
        <v>311</v>
      </c>
      <c r="B23" s="26" t="n">
        <f aca="false">B22/DCF!$G$54</f>
        <v>1192581.01226117</v>
      </c>
    </row>
    <row r="24" customFormat="false" ht="15" hidden="false" customHeight="false" outlineLevel="0" collapsed="false">
      <c r="A24" s="7" t="s">
        <v>277</v>
      </c>
      <c r="B24" s="26" t="n">
        <f aca="false">DCF!$G$49</f>
        <v>25424.9091488656</v>
      </c>
    </row>
    <row r="25" customFormat="false" ht="15" hidden="false" customHeight="false" outlineLevel="0" collapsed="false">
      <c r="A25" s="9" t="s">
        <v>312</v>
      </c>
      <c r="B25" s="58" t="n">
        <f aca="false">(B23*WACC!$B$33-B24)/(B24+B23)</f>
        <v>0.0547371488240294</v>
      </c>
      <c r="C25" s="13" t="s">
        <v>313</v>
      </c>
    </row>
    <row r="26" customFormat="false" ht="15" hidden="false" customHeight="false" outlineLevel="0" collapsed="false">
      <c r="A26" s="9" t="s">
        <v>314</v>
      </c>
      <c r="B26" s="59" t="n">
        <f aca="false">B23/DCF!$G$31</f>
        <v>21.3420247339781</v>
      </c>
      <c r="C26" s="13" t="s">
        <v>315</v>
      </c>
    </row>
    <row r="27" customFormat="false" ht="15" hidden="false" customHeight="false" outlineLevel="0" collapsed="false">
      <c r="A27" s="7" t="s">
        <v>316</v>
      </c>
      <c r="B27" s="41" t="n">
        <f aca="false">DCF!$C$59</f>
        <v>0.03</v>
      </c>
    </row>
    <row r="29" customFormat="false" ht="15" hidden="false" customHeight="false" outlineLevel="0" collapsed="false">
      <c r="A29" s="13" t="s">
        <v>317</v>
      </c>
    </row>
    <row r="31" customFormat="false" ht="15" hidden="false" customHeight="false" outlineLevel="0" collapsed="false">
      <c r="A31" s="4" t="s">
        <v>318</v>
      </c>
      <c r="B31" s="5"/>
      <c r="C31" s="5"/>
      <c r="D31" s="5"/>
      <c r="E31" s="5"/>
      <c r="F31" s="5"/>
      <c r="G31" s="5"/>
      <c r="H31" s="5"/>
    </row>
    <row r="33" customFormat="false" ht="15.75" hidden="false" customHeight="true" outlineLevel="0" collapsed="false">
      <c r="A33" s="60" t="s">
        <v>319</v>
      </c>
      <c r="B33" s="60"/>
      <c r="C33" s="60"/>
      <c r="D33" s="60"/>
      <c r="E33" s="60"/>
      <c r="F33" s="60"/>
      <c r="G33" s="60"/>
      <c r="H33" s="60"/>
    </row>
    <row r="34" customFormat="false" ht="15.75" hidden="false" customHeight="true" outlineLevel="0" collapsed="false">
      <c r="A34" s="60"/>
      <c r="B34" s="60"/>
      <c r="C34" s="60"/>
      <c r="D34" s="60"/>
      <c r="E34" s="60"/>
      <c r="F34" s="60"/>
      <c r="G34" s="60"/>
      <c r="H34" s="60"/>
    </row>
    <row r="36" customFormat="false" ht="23.85" hidden="false" customHeight="false" outlineLevel="0" collapsed="false">
      <c r="A36" s="9" t="s">
        <v>320</v>
      </c>
      <c r="B36" s="22" t="s">
        <v>321</v>
      </c>
      <c r="C36" s="22" t="s">
        <v>216</v>
      </c>
      <c r="D36" s="22" t="s">
        <v>217</v>
      </c>
      <c r="E36" s="22" t="s">
        <v>218</v>
      </c>
      <c r="F36" s="22" t="s">
        <v>219</v>
      </c>
      <c r="G36" s="22" t="s">
        <v>220</v>
      </c>
      <c r="H36" s="61" t="s">
        <v>322</v>
      </c>
    </row>
    <row r="37" customFormat="false" ht="15" hidden="false" customHeight="false" outlineLevel="0" collapsed="false">
      <c r="B37" s="62" t="n">
        <v>0.175</v>
      </c>
      <c r="C37" s="50" t="n">
        <f aca="false">DCF!C$21-(DCF!C$18*$B37-DCF!$B$28)+DCF!C$12-(DCF!C$34-DCF!B$34)</f>
        <v>32181.9202522125</v>
      </c>
      <c r="D37" s="50" t="n">
        <f aca="false">DCF!D$21-(DCF!D$18*$B37-DCF!C$18*$B37)+DCF!D$12-(DCF!D$34-DCF!C$34)</f>
        <v>22135.91095907</v>
      </c>
      <c r="E37" s="50" t="n">
        <f aca="false">DCF!E$21-(DCF!E$18*$B37-DCF!D$18*$B37)+DCF!E$12-(DCF!E$34-DCF!D$34)</f>
        <v>23681.3474149072</v>
      </c>
      <c r="F37" s="50" t="n">
        <f aca="false">DCF!F$21-(DCF!F$18*$B37-DCF!E$18*$B37)+DCF!F$12-(DCF!F$34-DCF!E$34)</f>
        <v>25097.6773740267</v>
      </c>
      <c r="G37" s="50" t="n">
        <f aca="false">DCF!G$21-(DCF!G$18*$B37-DCF!F$18*$B37)+DCF!G$12-(DCF!G$34-DCF!F$34)</f>
        <v>25810.1076952475</v>
      </c>
      <c r="H37" s="63" t="n">
        <f aca="false">(NPV(WACC!$B$33,C37:G37)+G37*(1+DCF!$C$59)/(WACC!$B$33-DCF!$C$59)/(1+WACC!$B$33)^5-Historicals!$F$55+Historicals!$F$27+Historicals!$F$63-Historicals!$F$49)/WACC!$B$6</f>
        <v>55.1758622368599</v>
      </c>
      <c r="I37" s="13" t="s">
        <v>323</v>
      </c>
    </row>
    <row r="38" customFormat="false" ht="15" hidden="false" customHeight="false" outlineLevel="0" collapsed="false">
      <c r="B38" s="62" t="n">
        <v>0.182</v>
      </c>
      <c r="C38" s="50" t="n">
        <f aca="false">DCF!C$21-(DCF!C$18*$B38-DCF!$B$28)+DCF!C$12-(DCF!C$34-DCF!B$34)</f>
        <v>26751.2446260675</v>
      </c>
      <c r="D38" s="50" t="n">
        <f aca="false">DCF!D$21-(DCF!D$18*$B38-DCF!C$18*$B38)+DCF!D$12-(DCF!D$34-DCF!C$34)</f>
        <v>21934.9759609026</v>
      </c>
      <c r="E38" s="50" t="n">
        <f aca="false">DCF!E$21-(DCF!E$18*$B38-DCF!D$18*$B38)+DCF!E$12-(DCF!E$34-DCF!D$34)</f>
        <v>23495.5042643049</v>
      </c>
      <c r="F38" s="50" t="n">
        <f aca="false">DCF!F$21-(DCF!F$18*$B38-DCF!E$18*$B38)+DCF!F$12-(DCF!F$34-DCF!E$34)</f>
        <v>24923.1537607792</v>
      </c>
      <c r="G38" s="50" t="n">
        <f aca="false">DCF!G$21-(DCF!G$18*$B38-DCF!F$18*$B38)+DCF!G$12-(DCF!G$34-DCF!F$34)</f>
        <v>25630.3483736026</v>
      </c>
      <c r="H38" s="63" t="n">
        <f aca="false">(NPV(WACC!$B$33,C38:G38)+G38*(1+DCF!$C$59)/(WACC!$B$33-DCF!$C$59)/(1+WACC!$B$33)^5-Historicals!$F$55+Historicals!$F$27+Historicals!$F$63-Historicals!$F$49)/WACC!$B$6</f>
        <v>54.1387503219802</v>
      </c>
      <c r="I38" s="13" t="s">
        <v>324</v>
      </c>
    </row>
    <row r="39" customFormat="false" ht="15" hidden="false" customHeight="false" outlineLevel="0" collapsed="false">
      <c r="B39" s="62" t="n">
        <v>0.19</v>
      </c>
      <c r="C39" s="50" t="n">
        <f aca="false">DCF!C$21-(DCF!C$18*$B39-DCF!$B$28)+DCF!C$12-(DCF!C$34-DCF!B$34)</f>
        <v>20544.7581961875</v>
      </c>
      <c r="D39" s="50" t="n">
        <f aca="false">DCF!D$21-(DCF!D$18*$B39-DCF!C$18*$B39)+DCF!D$12-(DCF!D$34-DCF!C$34)</f>
        <v>21705.3359629971</v>
      </c>
      <c r="E39" s="50" t="n">
        <f aca="false">DCF!E$21-(DCF!E$18*$B39-DCF!D$18*$B39)+DCF!E$12-(DCF!E$34-DCF!D$34)</f>
        <v>23283.112092188</v>
      </c>
      <c r="F39" s="50" t="n">
        <f aca="false">DCF!F$21-(DCF!F$18*$B39-DCF!E$18*$B39)+DCF!F$12-(DCF!F$34-DCF!E$34)</f>
        <v>24723.6982027821</v>
      </c>
      <c r="G39" s="50" t="n">
        <f aca="false">DCF!G$21-(DCF!G$18*$B39-DCF!F$18*$B39)+DCF!G$12-(DCF!G$34-DCF!F$34)</f>
        <v>25424.9091488656</v>
      </c>
      <c r="H39" s="63" t="n">
        <f aca="false">(NPV(WACC!$B$33,C39:G39)+G39*(1+DCF!$C$59)/(WACC!$B$33-DCF!$C$59)/(1+WACC!$B$33)^5-Historicals!$F$55+Historicals!$F$27+Historicals!$F$63-Historicals!$F$49)/WACC!$B$6</f>
        <v>52.9534795621176</v>
      </c>
      <c r="I39" s="13" t="s">
        <v>325</v>
      </c>
    </row>
    <row r="40" customFormat="false" ht="15" hidden="false" customHeight="false" outlineLevel="0" collapsed="false">
      <c r="B40" s="62" t="n">
        <v>0.198</v>
      </c>
      <c r="C40" s="50" t="n">
        <f aca="false">DCF!C$21-(DCF!C$18*$B40-DCF!$B$28)+DCF!C$12-(DCF!C$34-DCF!B$34)</f>
        <v>14338.2717663075</v>
      </c>
      <c r="D40" s="50" t="n">
        <f aca="false">DCF!D$21-(DCF!D$18*$B40-DCF!C$18*$B40)+DCF!D$12-(DCF!D$34-DCF!C$34)</f>
        <v>21475.6959650915</v>
      </c>
      <c r="E40" s="50" t="n">
        <f aca="false">DCF!E$21-(DCF!E$18*$B40-DCF!D$18*$B40)+DCF!E$12-(DCF!E$34-DCF!D$34)</f>
        <v>23070.7199200711</v>
      </c>
      <c r="F40" s="50" t="n">
        <f aca="false">DCF!F$21-(DCF!F$18*$B40-DCF!E$18*$B40)+DCF!F$12-(DCF!F$34-DCF!E$34)</f>
        <v>24524.2426447851</v>
      </c>
      <c r="G40" s="50" t="n">
        <f aca="false">DCF!G$21-(DCF!G$18*$B40-DCF!F$18*$B40)+DCF!G$12-(DCF!G$34-DCF!F$34)</f>
        <v>25219.4699241286</v>
      </c>
      <c r="H40" s="63" t="n">
        <f aca="false">(NPV(WACC!$B$33,C40:G40)+G40*(1+DCF!$C$59)/(WACC!$B$33-DCF!$C$59)/(1+WACC!$B$33)^5-Historicals!$F$55+Historicals!$F$27+Historicals!$F$63-Historicals!$F$49)/WACC!$B$6</f>
        <v>51.768208802255</v>
      </c>
      <c r="I40" s="13" t="s">
        <v>326</v>
      </c>
    </row>
    <row r="41" customFormat="false" ht="15" hidden="false" customHeight="false" outlineLevel="0" collapsed="false">
      <c r="B41" s="62" t="n">
        <v>0.206</v>
      </c>
      <c r="C41" s="50" t="n">
        <f aca="false">DCF!C$21-(DCF!C$18*$B41-DCF!$B$28)+DCF!C$12-(DCF!C$34-DCF!B$34)</f>
        <v>8131.78533642755</v>
      </c>
      <c r="D41" s="50" t="n">
        <f aca="false">DCF!D$21-(DCF!D$18*$B41-DCF!C$18*$B41)+DCF!D$12-(DCF!D$34-DCF!C$34)</f>
        <v>21246.0559671859</v>
      </c>
      <c r="E41" s="50" t="n">
        <f aca="false">DCF!E$21-(DCF!E$18*$B41-DCF!D$18*$B41)+DCF!E$12-(DCF!E$34-DCF!D$34)</f>
        <v>22858.3277479541</v>
      </c>
      <c r="F41" s="50" t="n">
        <f aca="false">DCF!F$21-(DCF!F$18*$B41-DCF!E$18*$B41)+DCF!F$12-(DCF!F$34-DCF!E$34)</f>
        <v>24324.787086788</v>
      </c>
      <c r="G41" s="50" t="n">
        <f aca="false">DCF!G$21-(DCF!G$18*$B41-DCF!F$18*$B41)+DCF!G$12-(DCF!G$34-DCF!F$34)</f>
        <v>25014.0306993917</v>
      </c>
      <c r="H41" s="63" t="n">
        <f aca="false">(NPV(WACC!$B$33,C41:G41)+G41*(1+DCF!$C$59)/(WACC!$B$33-DCF!$C$59)/(1+WACC!$B$33)^5-Historicals!$F$55+Historicals!$F$27+Historicals!$F$63-Historicals!$F$49)/WACC!$B$6</f>
        <v>50.5829380423924</v>
      </c>
      <c r="I41" s="13" t="s">
        <v>327</v>
      </c>
    </row>
    <row r="43" customFormat="false" ht="15" hidden="false" customHeight="false" outlineLevel="0" collapsed="false">
      <c r="A43" s="13" t="s">
        <v>328</v>
      </c>
    </row>
  </sheetData>
  <mergeCells count="1">
    <mergeCell ref="A33:H3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2026-09-15T22:16:21Z</dcterms:created>
  <dc:creator>openpyxl</dc:creator>
  <dc:description/>
  <dc:language>en-US</dc:language>
  <cp:lastModifiedBy/>
  <dcterms:modified xsi:type="dcterms:W3CDTF">2026-09-15T22:16:21Z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