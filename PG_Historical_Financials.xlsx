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s" sheetId="1" state="visible" r:id="rId3"/>
    <sheet name="Rat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<sst xmlns="http://schemas.openxmlformats.org/spreadsheetml/2006/main" count="144" uniqueCount="115">
  <si>
    <t xml:space="preserve">The Procter &amp; Gamble Company (NYSE: PG) - Historical Financials</t>
  </si>
  <si>
    <t xml:space="preserve">$ in millions except per-share data. Fiscal years end June 30 (FY2026 = year ended June 30, 2026). Yahoo Finance returns four years for PG.</t>
  </si>
  <si>
    <t xml:space="preserve">Fiscal year ended June 30,</t>
  </si>
  <si>
    <t xml:space="preserve">FY2023</t>
  </si>
  <si>
    <t xml:space="preserve">FY2024</t>
  </si>
  <si>
    <t xml:space="preserve">FY2025</t>
  </si>
  <si>
    <t xml:space="preserve">FY2026</t>
  </si>
  <si>
    <t xml:space="preserve">Source / note</t>
  </si>
  <si>
    <t xml:space="preserve">INCOME STATEMENT</t>
  </si>
  <si>
    <t xml:space="preserve">Net sales</t>
  </si>
  <si>
    <t xml:space="preserve">Yahoo Finance (yfinance), PG annual statements, 9/15/2026</t>
  </si>
  <si>
    <t xml:space="preserve">Cost of products sold</t>
  </si>
  <si>
    <t xml:space="preserve">Gross profit</t>
  </si>
  <si>
    <t xml:space="preserve">Selling, general and administrative expense</t>
  </si>
  <si>
    <t xml:space="preserve">Derived: gross profit less operating income</t>
  </si>
  <si>
    <t xml:space="preserve">Operating income (EBIT)</t>
  </si>
  <si>
    <t xml:space="preserve">Memo: depreciation and amortisation (included in costs above)</t>
  </si>
  <si>
    <t xml:space="preserve">EBITDA</t>
  </si>
  <si>
    <t xml:space="preserve">Interest and other non-operating income/(expense), net</t>
  </si>
  <si>
    <t xml:space="preserve">Derived: pretax income less operating income</t>
  </si>
  <si>
    <t xml:space="preserve">Pretax income</t>
  </si>
  <si>
    <t xml:space="preserve">Income tax provision</t>
  </si>
  <si>
    <t xml:space="preserve">Consolidated net income</t>
  </si>
  <si>
    <t xml:space="preserve">Less: net earnings attributable to noncontrolling interest</t>
  </si>
  <si>
    <t xml:space="preserve">Derived</t>
  </si>
  <si>
    <t xml:space="preserve">Net earnings attributable to Procter &amp; Gamble</t>
  </si>
  <si>
    <t xml:space="preserve">Diluted weighted average shares outstanding</t>
  </si>
  <si>
    <t xml:space="preserve">Diluted earnings per share</t>
  </si>
  <si>
    <t xml:space="preserve">BALANCE SHEET</t>
  </si>
  <si>
    <t xml:space="preserve">Cash and cash equivalents</t>
  </si>
  <si>
    <t xml:space="preserve">Accounts receivable</t>
  </si>
  <si>
    <t xml:space="preserve">Inventories</t>
  </si>
  <si>
    <t xml:space="preserve">Other current assets</t>
  </si>
  <si>
    <t xml:space="preserve">Total current assets</t>
  </si>
  <si>
    <t xml:space="preserve">Property, plant and equipment, net</t>
  </si>
  <si>
    <t xml:space="preserve">Yahoo Finance (yfinance), PG annual statements, 9/15/2026; the depreciable base</t>
  </si>
  <si>
    <t xml:space="preserve">Goodwill</t>
  </si>
  <si>
    <t xml:space="preserve">Other intangible assets, net</t>
  </si>
  <si>
    <t xml:space="preserve">Yahoo Finance (yfinance), PG annual statements, 9/15/2026; largely indefinite-lived brands</t>
  </si>
  <si>
    <t xml:space="preserve">Other non-current assets</t>
  </si>
  <si>
    <t xml:space="preserve">Plug to total assets</t>
  </si>
  <si>
    <t xml:space="preserve">Total assets</t>
  </si>
  <si>
    <t xml:space="preserve">Accounts payable</t>
  </si>
  <si>
    <t xml:space="preserve">Accrued and other current liabilities</t>
  </si>
  <si>
    <t xml:space="preserve">Plug: total current liabilities less the other current lines</t>
  </si>
  <si>
    <t xml:space="preserve">Debt due within one year</t>
  </si>
  <si>
    <t xml:space="preserve">Current portion of lease obligations</t>
  </si>
  <si>
    <t xml:space="preserve">Total current liabilities</t>
  </si>
  <si>
    <t xml:space="preserve">Long-term debt</t>
  </si>
  <si>
    <t xml:space="preserve">Long-term lease obligations</t>
  </si>
  <si>
    <t xml:space="preserve">Deferred income taxes and other non-current liabilities</t>
  </si>
  <si>
    <t xml:space="preserve">Plug to total liabilities</t>
  </si>
  <si>
    <t xml:space="preserve">Total liabilities</t>
  </si>
  <si>
    <t xml:space="preserve">Noncontrolling interest</t>
  </si>
  <si>
    <t xml:space="preserve">Total Procter &amp; Gamble shareholders' equity</t>
  </si>
  <si>
    <t xml:space="preserve">Total liabilities and equity</t>
  </si>
  <si>
    <t xml:space="preserve">Check: total assets less total liabilities and equity</t>
  </si>
  <si>
    <t xml:space="preserve">INVESTED CAPITAL AND DEBT</t>
  </si>
  <si>
    <t xml:space="preserve">Total debt (including lease obligations)</t>
  </si>
  <si>
    <t xml:space="preserve">PG lease obligations are under $1bn, so the finance/operating split is immaterial.</t>
  </si>
  <si>
    <t xml:space="preserve">Net debt (total debt less cash)</t>
  </si>
  <si>
    <t xml:space="preserve">Net operating working capital</t>
  </si>
  <si>
    <t xml:space="preserve">Non-cash current assets less non-debt current liabilities.</t>
  </si>
  <si>
    <t xml:space="preserve">Goodwill and other intangible assets</t>
  </si>
  <si>
    <t xml:space="preserve">Non-depreciating. Half of total assets.</t>
  </si>
  <si>
    <t xml:space="preserve">Net other non-current assets/(liabilities)</t>
  </si>
  <si>
    <t xml:space="preserve">Invested capital</t>
  </si>
  <si>
    <t xml:space="preserve">Net debt + noncontrolling interest + equity</t>
  </si>
  <si>
    <t xml:space="preserve">Check: operating build less financing build</t>
  </si>
  <si>
    <t xml:space="preserve">Zero in every year: the balance sheet articulates.</t>
  </si>
  <si>
    <t xml:space="preserve">CASH FLOW</t>
  </si>
  <si>
    <t xml:space="preserve">Net cash provided by operating activities</t>
  </si>
  <si>
    <t xml:space="preserve">Capital expenditures</t>
  </si>
  <si>
    <t xml:space="preserve">Free cash flow (OCF less capex)</t>
  </si>
  <si>
    <t xml:space="preserve">Colour key: blue = input / sourced data, black = formula, green = link to another worksheet.</t>
  </si>
  <si>
    <t xml:space="preserve">All figures are as returned by Yahoo Finance for ticker PG. Yahoo provides four fiscal years; the fifth is not available through the API.</t>
  </si>
  <si>
    <t xml:space="preserve">FY2024 operating income includes a $1,341mm impairment charge.</t>
  </si>
  <si>
    <t xml:space="preserve">Historical Ratio Analysis</t>
  </si>
  <si>
    <t xml:space="preserve">The three ratios the forecast needs. Ratios against next year sales stop at FY2025; ratios on the opening balance start at FY2024.</t>
  </si>
  <si>
    <t xml:space="preserve">Average</t>
  </si>
  <si>
    <t xml:space="preserve">Comment</t>
  </si>
  <si>
    <t xml:space="preserve">GROWTH AND MARGINS</t>
  </si>
  <si>
    <t xml:space="preserve">Net sales growth</t>
  </si>
  <si>
    <t xml:space="preserve">n/a</t>
  </si>
  <si>
    <t xml:space="preserve">Slow: 2.5%, 0.3%, 3.3%.</t>
  </si>
  <si>
    <t xml:space="preserve">Gross margin</t>
  </si>
  <si>
    <t xml:space="preserve">Operating margin (EBIT)</t>
  </si>
  <si>
    <t xml:space="preserve">FY2024 is reduced by a $1,341mm impairment charge; without it the margin is 23.7%.</t>
  </si>
  <si>
    <t xml:space="preserve">EBITDA margin</t>
  </si>
  <si>
    <t xml:space="preserve">Net margin</t>
  </si>
  <si>
    <t xml:space="preserve">Effective tax rate</t>
  </si>
  <si>
    <t xml:space="preserve">19.7% to 20.8%. Notably stable.</t>
  </si>
  <si>
    <t xml:space="preserve">THE THREE FORECAST RATIOS</t>
  </si>
  <si>
    <t xml:space="preserve">Net PP&amp;E as % of next year net sales  (k)</t>
  </si>
  <si>
    <t xml:space="preserve">Rising: 26.1%, 26.3%, 27.5%. Needs the following year, so FY2026 drops out.</t>
  </si>
  <si>
    <t xml:space="preserve">Depreciation as % of opening net PP&amp;E  (d)</t>
  </si>
  <si>
    <t xml:space="preserve">13.22%, 12.85%, 13.22%. Needs the prior year, so FY2023 drops out.</t>
  </si>
  <si>
    <t xml:space="preserve">Net working capital as % of next year net sales  (w)</t>
  </si>
  <si>
    <t xml:space="preserve">Around -12.7%. PG is funded by its suppliers, so growth releases cash.</t>
  </si>
  <si>
    <t xml:space="preserve">Implied average depreciable life (years)</t>
  </si>
  <si>
    <t xml:space="preserve">About 7.7 years.</t>
  </si>
  <si>
    <t xml:space="preserve">CAPITAL SPENDING AND RETURNS</t>
  </si>
  <si>
    <t xml:space="preserve">Capital expenditures % of net sales</t>
  </si>
  <si>
    <t xml:space="preserve">Rising: 3.7% to 5.1%.</t>
  </si>
  <si>
    <t xml:space="preserve">Capex / depreciation</t>
  </si>
  <si>
    <t xml:space="preserve">Goodwill and intangibles % of total assets</t>
  </si>
  <si>
    <t xml:space="preserve">Half the balance sheet, and none of it depreciates.</t>
  </si>
  <si>
    <t xml:space="preserve">Net other non-current assets % of net sales</t>
  </si>
  <si>
    <t xml:space="preserve">NOPAT (EBIT after tax), $mm</t>
  </si>
  <si>
    <t xml:space="preserve">Return on invested capital</t>
  </si>
  <si>
    <t xml:space="preserve">NOPAT / invested capital. Goodwill in the denominator holds it down.</t>
  </si>
  <si>
    <t xml:space="preserve">Return on equity</t>
  </si>
  <si>
    <t xml:space="preserve">Total debt / EBITDA</t>
  </si>
  <si>
    <t xml:space="preserve">Free cash flow conversion (FCF / net earnings)</t>
  </si>
  <si>
    <t xml:space="preserve">PG lease obligations total under $1bn, against $22bn at Walmart, so the finance/operating lease split does not move any of these ratios.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</si>
</sst>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.00"/>
    <numFmt numFmtId="167" formatCode="0.0%"/>
    <numFmt numFmtId="168" formatCode="0.00%"/>
    <numFmt numFmtId="169" formatCode="0.0"/>
    <numFmt numFmtId="170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3"/>
    <col collapsed="false" customWidth="true" hidden="false" outlineLevel="0" max="6" min="6" style="0" width="2"/>
    <col collapsed="false" customWidth="true" hidden="false" outlineLevel="0" max="7" min="7" style="0" width="46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G4" s="4" t="s">
        <v>7</v>
      </c>
    </row>
    <row r="6" customFormat="false" ht="15" hidden="false" customHeight="false" outlineLevel="0" collapsed="false">
      <c r="A6" s="6" t="s">
        <v>8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8" t="s">
        <v>9</v>
      </c>
      <c r="B7" s="9" t="n">
        <v>82006</v>
      </c>
      <c r="C7" s="9" t="n">
        <v>84039</v>
      </c>
      <c r="D7" s="9" t="n">
        <v>84284</v>
      </c>
      <c r="E7" s="9" t="n">
        <v>87032</v>
      </c>
      <c r="G7" s="10" t="s">
        <v>10</v>
      </c>
    </row>
    <row r="8" customFormat="false" ht="15" hidden="false" customHeight="false" outlineLevel="0" collapsed="false">
      <c r="A8" s="8" t="s">
        <v>11</v>
      </c>
      <c r="B8" s="9" t="n">
        <v>42760</v>
      </c>
      <c r="C8" s="9" t="n">
        <v>40848</v>
      </c>
      <c r="D8" s="9" t="n">
        <v>41164</v>
      </c>
      <c r="E8" s="9" t="n">
        <v>43362</v>
      </c>
      <c r="G8" s="10" t="s">
        <v>10</v>
      </c>
    </row>
    <row r="9" customFormat="false" ht="15" hidden="false" customHeight="false" outlineLevel="0" collapsed="false">
      <c r="A9" s="11" t="s">
        <v>12</v>
      </c>
      <c r="B9" s="12" t="n">
        <f aca="false">B7-B8</f>
        <v>39246</v>
      </c>
      <c r="C9" s="12" t="n">
        <f aca="false">C7-C8</f>
        <v>43191</v>
      </c>
      <c r="D9" s="12" t="n">
        <f aca="false">D7-D8</f>
        <v>43120</v>
      </c>
      <c r="E9" s="12" t="n">
        <f aca="false">E7-E8</f>
        <v>43670</v>
      </c>
    </row>
    <row r="10" customFormat="false" ht="15" hidden="false" customHeight="false" outlineLevel="0" collapsed="false">
      <c r="A10" s="8" t="s">
        <v>13</v>
      </c>
      <c r="B10" s="9" t="n">
        <v>21112</v>
      </c>
      <c r="C10" s="9" t="n">
        <v>24646</v>
      </c>
      <c r="D10" s="9" t="n">
        <v>22669</v>
      </c>
      <c r="E10" s="9" t="n">
        <v>23922</v>
      </c>
      <c r="G10" s="10" t="s">
        <v>14</v>
      </c>
    </row>
    <row r="11" customFormat="false" ht="15" hidden="false" customHeight="false" outlineLevel="0" collapsed="false">
      <c r="A11" s="11" t="s">
        <v>15</v>
      </c>
      <c r="B11" s="12" t="n">
        <f aca="false">B9-B10</f>
        <v>18134</v>
      </c>
      <c r="C11" s="12" t="n">
        <f aca="false">C9-C10</f>
        <v>18545</v>
      </c>
      <c r="D11" s="12" t="n">
        <f aca="false">D9-D10</f>
        <v>20451</v>
      </c>
      <c r="E11" s="12" t="n">
        <f aca="false">E9-E10</f>
        <v>19748</v>
      </c>
    </row>
    <row r="13" customFormat="false" ht="15" hidden="false" customHeight="false" outlineLevel="0" collapsed="false">
      <c r="A13" s="13" t="s">
        <v>16</v>
      </c>
      <c r="B13" s="9" t="n">
        <v>2714</v>
      </c>
      <c r="C13" s="9" t="n">
        <v>2896</v>
      </c>
      <c r="D13" s="9" t="n">
        <v>2847</v>
      </c>
      <c r="E13" s="9" t="n">
        <v>3160</v>
      </c>
      <c r="G13" s="10" t="s">
        <v>10</v>
      </c>
    </row>
    <row r="14" customFormat="false" ht="15" hidden="false" customHeight="false" outlineLevel="0" collapsed="false">
      <c r="A14" s="11" t="s">
        <v>17</v>
      </c>
      <c r="B14" s="12" t="n">
        <f aca="false">B11+B13</f>
        <v>20848</v>
      </c>
      <c r="C14" s="12" t="n">
        <f aca="false">C11+C13</f>
        <v>21441</v>
      </c>
      <c r="D14" s="12" t="n">
        <f aca="false">D11+D13</f>
        <v>23298</v>
      </c>
      <c r="E14" s="12" t="n">
        <f aca="false">E11+E13</f>
        <v>22908</v>
      </c>
    </row>
    <row r="16" customFormat="false" ht="15" hidden="false" customHeight="false" outlineLevel="0" collapsed="false">
      <c r="A16" s="8" t="s">
        <v>18</v>
      </c>
      <c r="B16" s="9" t="n">
        <v>219</v>
      </c>
      <c r="C16" s="9" t="n">
        <v>216</v>
      </c>
      <c r="D16" s="9" t="n">
        <v>-284</v>
      </c>
      <c r="E16" s="9" t="n">
        <v>629</v>
      </c>
      <c r="G16" s="10" t="s">
        <v>19</v>
      </c>
    </row>
    <row r="17" customFormat="false" ht="15" hidden="false" customHeight="false" outlineLevel="0" collapsed="false">
      <c r="A17" s="11" t="s">
        <v>20</v>
      </c>
      <c r="B17" s="12" t="n">
        <f aca="false">B11+B16</f>
        <v>18353</v>
      </c>
      <c r="C17" s="12" t="n">
        <f aca="false">C11+C16</f>
        <v>18761</v>
      </c>
      <c r="D17" s="12" t="n">
        <f aca="false">D11+D16</f>
        <v>20167</v>
      </c>
      <c r="E17" s="12" t="n">
        <f aca="false">E11+E16</f>
        <v>20377</v>
      </c>
    </row>
    <row r="18" customFormat="false" ht="15" hidden="false" customHeight="false" outlineLevel="0" collapsed="false">
      <c r="A18" s="8" t="s">
        <v>21</v>
      </c>
      <c r="B18" s="9" t="n">
        <v>3615</v>
      </c>
      <c r="C18" s="9" t="n">
        <v>3787</v>
      </c>
      <c r="D18" s="9" t="n">
        <v>4102</v>
      </c>
      <c r="E18" s="9" t="n">
        <v>4233</v>
      </c>
      <c r="G18" s="10" t="s">
        <v>10</v>
      </c>
    </row>
    <row r="19" customFormat="false" ht="15" hidden="false" customHeight="false" outlineLevel="0" collapsed="false">
      <c r="A19" s="11" t="s">
        <v>22</v>
      </c>
      <c r="B19" s="12" t="n">
        <f aca="false">B17-B18</f>
        <v>14738</v>
      </c>
      <c r="C19" s="12" t="n">
        <f aca="false">C17-C18</f>
        <v>14974</v>
      </c>
      <c r="D19" s="12" t="n">
        <f aca="false">D17-D18</f>
        <v>16065</v>
      </c>
      <c r="E19" s="12" t="n">
        <f aca="false">E17-E18</f>
        <v>16144</v>
      </c>
    </row>
    <row r="20" customFormat="false" ht="15" hidden="false" customHeight="false" outlineLevel="0" collapsed="false">
      <c r="A20" s="8" t="s">
        <v>23</v>
      </c>
      <c r="B20" s="9" t="n">
        <v>367</v>
      </c>
      <c r="C20" s="9" t="n">
        <v>379</v>
      </c>
      <c r="D20" s="9" t="n">
        <v>383</v>
      </c>
      <c r="E20" s="9" t="n">
        <v>390</v>
      </c>
      <c r="G20" s="10" t="s">
        <v>24</v>
      </c>
    </row>
    <row r="21" customFormat="false" ht="15" hidden="false" customHeight="false" outlineLevel="0" collapsed="false">
      <c r="A21" s="11" t="s">
        <v>25</v>
      </c>
      <c r="B21" s="12" t="n">
        <f aca="false">B19-B20</f>
        <v>14371</v>
      </c>
      <c r="C21" s="12" t="n">
        <f aca="false">C19-C20</f>
        <v>14595</v>
      </c>
      <c r="D21" s="12" t="n">
        <f aca="false">D19-D20</f>
        <v>15682</v>
      </c>
      <c r="E21" s="12" t="n">
        <f aca="false">E19-E20</f>
        <v>15754</v>
      </c>
    </row>
    <row r="22" customFormat="false" ht="15" hidden="false" customHeight="false" outlineLevel="0" collapsed="false">
      <c r="A22" s="8" t="s">
        <v>26</v>
      </c>
      <c r="B22" s="9" t="n">
        <v>2484</v>
      </c>
      <c r="C22" s="9" t="n">
        <v>2472</v>
      </c>
      <c r="D22" s="9" t="n">
        <v>2454</v>
      </c>
      <c r="E22" s="9" t="n">
        <v>2422</v>
      </c>
      <c r="G22" s="10" t="s">
        <v>10</v>
      </c>
    </row>
    <row r="23" customFormat="false" ht="15" hidden="false" customHeight="false" outlineLevel="0" collapsed="false">
      <c r="A23" s="8" t="s">
        <v>27</v>
      </c>
      <c r="B23" s="14" t="n">
        <f aca="false">B21/B22</f>
        <v>5.78542673107891</v>
      </c>
      <c r="C23" s="14" t="n">
        <f aca="false">C21/C22</f>
        <v>5.90412621359223</v>
      </c>
      <c r="D23" s="14" t="n">
        <f aca="false">D21/D22</f>
        <v>6.39038304808476</v>
      </c>
      <c r="E23" s="14" t="n">
        <f aca="false">E21/E22</f>
        <v>6.50454170107349</v>
      </c>
    </row>
    <row r="25" customFormat="false" ht="15" hidden="false" customHeight="false" outlineLevel="0" collapsed="false">
      <c r="A25" s="6" t="s">
        <v>28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8" t="s">
        <v>29</v>
      </c>
      <c r="B26" s="9" t="n">
        <v>8246</v>
      </c>
      <c r="C26" s="9" t="n">
        <v>9482</v>
      </c>
      <c r="D26" s="9" t="n">
        <v>9556</v>
      </c>
      <c r="E26" s="9" t="n">
        <v>9942</v>
      </c>
      <c r="G26" s="10" t="s">
        <v>10</v>
      </c>
    </row>
    <row r="27" customFormat="false" ht="15" hidden="false" customHeight="false" outlineLevel="0" collapsed="false">
      <c r="A27" s="8" t="s">
        <v>30</v>
      </c>
      <c r="B27" s="9" t="n">
        <v>5471</v>
      </c>
      <c r="C27" s="9" t="n">
        <v>6118</v>
      </c>
      <c r="D27" s="9" t="n">
        <v>6185</v>
      </c>
      <c r="E27" s="9" t="n">
        <v>6056</v>
      </c>
      <c r="G27" s="10" t="s">
        <v>10</v>
      </c>
    </row>
    <row r="28" customFormat="false" ht="15" hidden="false" customHeight="false" outlineLevel="0" collapsed="false">
      <c r="A28" s="8" t="s">
        <v>31</v>
      </c>
      <c r="B28" s="9" t="n">
        <v>7073</v>
      </c>
      <c r="C28" s="9" t="n">
        <v>7016</v>
      </c>
      <c r="D28" s="9" t="n">
        <v>7551</v>
      </c>
      <c r="E28" s="9" t="n">
        <v>8170</v>
      </c>
      <c r="G28" s="10" t="s">
        <v>10</v>
      </c>
    </row>
    <row r="29" customFormat="false" ht="15" hidden="false" customHeight="false" outlineLevel="0" collapsed="false">
      <c r="A29" s="8" t="s">
        <v>32</v>
      </c>
      <c r="B29" s="9" t="n">
        <v>1858</v>
      </c>
      <c r="C29" s="9" t="n">
        <v>2093</v>
      </c>
      <c r="D29" s="9" t="n">
        <v>2100</v>
      </c>
      <c r="E29" s="9" t="n">
        <v>2040</v>
      </c>
      <c r="G29" s="10" t="s">
        <v>10</v>
      </c>
    </row>
    <row r="30" customFormat="false" ht="15" hidden="false" customHeight="false" outlineLevel="0" collapsed="false">
      <c r="A30" s="11" t="s">
        <v>33</v>
      </c>
      <c r="B30" s="12" t="n">
        <f aca="false">SUM(B26:B29)</f>
        <v>22648</v>
      </c>
      <c r="C30" s="12" t="n">
        <f aca="false">SUM(C26:C29)</f>
        <v>24709</v>
      </c>
      <c r="D30" s="12" t="n">
        <f aca="false">SUM(D26:D29)</f>
        <v>25392</v>
      </c>
      <c r="E30" s="12" t="n">
        <f aca="false">SUM(E26:E29)</f>
        <v>26208</v>
      </c>
    </row>
    <row r="31" customFormat="false" ht="15" hidden="false" customHeight="false" outlineLevel="0" collapsed="false">
      <c r="A31" s="8" t="s">
        <v>34</v>
      </c>
      <c r="B31" s="9" t="n">
        <v>21909</v>
      </c>
      <c r="C31" s="9" t="n">
        <v>22152</v>
      </c>
      <c r="D31" s="9" t="n">
        <v>23897</v>
      </c>
      <c r="E31" s="9" t="n">
        <v>25360</v>
      </c>
      <c r="G31" s="10" t="s">
        <v>35</v>
      </c>
    </row>
    <row r="32" customFormat="false" ht="15" hidden="false" customHeight="false" outlineLevel="0" collapsed="false">
      <c r="A32" s="8" t="s">
        <v>36</v>
      </c>
      <c r="B32" s="9" t="n">
        <v>40659</v>
      </c>
      <c r="C32" s="9" t="n">
        <v>40303</v>
      </c>
      <c r="D32" s="9" t="n">
        <v>41650</v>
      </c>
      <c r="E32" s="9" t="n">
        <v>41276</v>
      </c>
      <c r="G32" s="10" t="s">
        <v>10</v>
      </c>
    </row>
    <row r="33" customFormat="false" ht="15" hidden="false" customHeight="false" outlineLevel="0" collapsed="false">
      <c r="A33" s="8" t="s">
        <v>37</v>
      </c>
      <c r="B33" s="9" t="n">
        <v>23783</v>
      </c>
      <c r="C33" s="9" t="n">
        <v>22047</v>
      </c>
      <c r="D33" s="9" t="n">
        <v>21910</v>
      </c>
      <c r="E33" s="9" t="n">
        <v>21444</v>
      </c>
      <c r="G33" s="10" t="s">
        <v>38</v>
      </c>
    </row>
    <row r="34" customFormat="false" ht="15" hidden="false" customHeight="false" outlineLevel="0" collapsed="false">
      <c r="A34" s="8" t="s">
        <v>39</v>
      </c>
      <c r="B34" s="15" t="n">
        <f aca="false">B35-B30-B31-B32-B33</f>
        <v>11830</v>
      </c>
      <c r="C34" s="15" t="n">
        <f aca="false">C35-C30-C31-C32-C33</f>
        <v>13159</v>
      </c>
      <c r="D34" s="15" t="n">
        <f aca="false">D35-D30-D31-D32-D33</f>
        <v>12382</v>
      </c>
      <c r="E34" s="15" t="n">
        <f aca="false">E35-E30-E31-E32-E33</f>
        <v>12233</v>
      </c>
      <c r="G34" s="10" t="s">
        <v>40</v>
      </c>
    </row>
    <row r="35" customFormat="false" ht="15" hidden="false" customHeight="false" outlineLevel="0" collapsed="false">
      <c r="A35" s="11" t="s">
        <v>41</v>
      </c>
      <c r="B35" s="16" t="n">
        <v>120829</v>
      </c>
      <c r="C35" s="16" t="n">
        <v>122370</v>
      </c>
      <c r="D35" s="16" t="n">
        <v>125231</v>
      </c>
      <c r="E35" s="16" t="n">
        <v>126521</v>
      </c>
      <c r="G35" s="10" t="s">
        <v>10</v>
      </c>
    </row>
    <row r="37" customFormat="false" ht="15" hidden="false" customHeight="false" outlineLevel="0" collapsed="false">
      <c r="A37" s="8" t="s">
        <v>42</v>
      </c>
      <c r="B37" s="9" t="n">
        <v>14598</v>
      </c>
      <c r="C37" s="9" t="n">
        <v>15364</v>
      </c>
      <c r="D37" s="9" t="n">
        <v>15227</v>
      </c>
      <c r="E37" s="9" t="n">
        <v>16306</v>
      </c>
      <c r="G37" s="10" t="s">
        <v>10</v>
      </c>
    </row>
    <row r="38" customFormat="false" ht="15" hidden="false" customHeight="false" outlineLevel="0" collapsed="false">
      <c r="A38" s="8" t="s">
        <v>43</v>
      </c>
      <c r="B38" s="9" t="n">
        <v>10707</v>
      </c>
      <c r="C38" s="9" t="n">
        <v>10829</v>
      </c>
      <c r="D38" s="9" t="n">
        <v>11064</v>
      </c>
      <c r="E38" s="9" t="n">
        <v>10845</v>
      </c>
      <c r="G38" s="10" t="s">
        <v>44</v>
      </c>
    </row>
    <row r="39" customFormat="false" ht="15" hidden="false" customHeight="false" outlineLevel="0" collapsed="false">
      <c r="A39" s="8" t="s">
        <v>45</v>
      </c>
      <c r="B39" s="9" t="n">
        <v>10229</v>
      </c>
      <c r="C39" s="9" t="n">
        <v>7191</v>
      </c>
      <c r="D39" s="9" t="n">
        <v>9512</v>
      </c>
      <c r="E39" s="9" t="n">
        <v>11297</v>
      </c>
      <c r="G39" s="10" t="s">
        <v>10</v>
      </c>
    </row>
    <row r="40" customFormat="false" ht="15" hidden="false" customHeight="false" outlineLevel="0" collapsed="false">
      <c r="A40" s="8" t="s">
        <v>46</v>
      </c>
      <c r="B40" s="9" t="n">
        <v>222</v>
      </c>
      <c r="C40" s="9" t="n">
        <v>243</v>
      </c>
      <c r="D40" s="9" t="n">
        <v>255</v>
      </c>
      <c r="E40" s="9" t="n">
        <v>246</v>
      </c>
      <c r="G40" s="10" t="s">
        <v>10</v>
      </c>
    </row>
    <row r="41" customFormat="false" ht="15" hidden="false" customHeight="false" outlineLevel="0" collapsed="false">
      <c r="A41" s="11" t="s">
        <v>47</v>
      </c>
      <c r="B41" s="12" t="n">
        <f aca="false">SUM(B37:B40)</f>
        <v>35756</v>
      </c>
      <c r="C41" s="12" t="n">
        <f aca="false">SUM(C37:C40)</f>
        <v>33627</v>
      </c>
      <c r="D41" s="12" t="n">
        <f aca="false">SUM(D37:D40)</f>
        <v>36058</v>
      </c>
      <c r="E41" s="12" t="n">
        <f aca="false">SUM(E37:E40)</f>
        <v>38694</v>
      </c>
    </row>
    <row r="42" customFormat="false" ht="15" hidden="false" customHeight="false" outlineLevel="0" collapsed="false">
      <c r="A42" s="8" t="s">
        <v>48</v>
      </c>
      <c r="B42" s="9" t="n">
        <v>24378</v>
      </c>
      <c r="C42" s="9" t="n">
        <v>25269</v>
      </c>
      <c r="D42" s="9" t="n">
        <v>24995</v>
      </c>
      <c r="E42" s="9" t="n">
        <v>22842</v>
      </c>
      <c r="G42" s="10" t="s">
        <v>10</v>
      </c>
    </row>
    <row r="43" customFormat="false" ht="15" hidden="false" customHeight="false" outlineLevel="0" collapsed="false">
      <c r="A43" s="8" t="s">
        <v>49</v>
      </c>
      <c r="B43" s="9" t="n">
        <v>595</v>
      </c>
      <c r="C43" s="9" t="n">
        <v>666</v>
      </c>
      <c r="D43" s="9" t="n">
        <v>701</v>
      </c>
      <c r="E43" s="9" t="n">
        <v>641</v>
      </c>
      <c r="G43" s="10" t="s">
        <v>10</v>
      </c>
    </row>
    <row r="44" customFormat="false" ht="15" hidden="false" customHeight="false" outlineLevel="0" collapsed="false">
      <c r="A44" s="8" t="s">
        <v>50</v>
      </c>
      <c r="B44" s="15" t="n">
        <f aca="false">B45-B41-B42-B43</f>
        <v>13035</v>
      </c>
      <c r="C44" s="15" t="n">
        <f aca="false">C45-C41-C42-C43</f>
        <v>12250</v>
      </c>
      <c r="D44" s="15" t="n">
        <f aca="false">D45-D41-D42-D43</f>
        <v>11193</v>
      </c>
      <c r="E44" s="15" t="n">
        <f aca="false">E45-E41-E42-E43</f>
        <v>10033</v>
      </c>
      <c r="G44" s="10" t="s">
        <v>51</v>
      </c>
    </row>
    <row r="45" customFormat="false" ht="15" hidden="false" customHeight="false" outlineLevel="0" collapsed="false">
      <c r="A45" s="11" t="s">
        <v>52</v>
      </c>
      <c r="B45" s="12" t="n">
        <f aca="false">B35-B46-B47</f>
        <v>73764</v>
      </c>
      <c r="C45" s="12" t="n">
        <f aca="false">C35-C46-C47</f>
        <v>71812</v>
      </c>
      <c r="D45" s="12" t="n">
        <f aca="false">D35-D46-D47</f>
        <v>72947</v>
      </c>
      <c r="E45" s="12" t="n">
        <f aca="false">E35-E46-E47</f>
        <v>72210</v>
      </c>
    </row>
    <row r="46" customFormat="false" ht="15" hidden="false" customHeight="false" outlineLevel="0" collapsed="false">
      <c r="A46" s="8" t="s">
        <v>53</v>
      </c>
      <c r="B46" s="9" t="n">
        <v>288</v>
      </c>
      <c r="C46" s="9" t="n">
        <v>272</v>
      </c>
      <c r="D46" s="9" t="n">
        <v>272</v>
      </c>
      <c r="E46" s="9" t="n">
        <v>230</v>
      </c>
      <c r="G46" s="10" t="s">
        <v>10</v>
      </c>
    </row>
    <row r="47" customFormat="false" ht="15" hidden="false" customHeight="false" outlineLevel="0" collapsed="false">
      <c r="A47" s="8" t="s">
        <v>54</v>
      </c>
      <c r="B47" s="9" t="n">
        <v>46777</v>
      </c>
      <c r="C47" s="9" t="n">
        <v>50286</v>
      </c>
      <c r="D47" s="9" t="n">
        <v>52012</v>
      </c>
      <c r="E47" s="9" t="n">
        <v>54081</v>
      </c>
      <c r="G47" s="10" t="s">
        <v>10</v>
      </c>
    </row>
    <row r="48" customFormat="false" ht="15" hidden="false" customHeight="false" outlineLevel="0" collapsed="false">
      <c r="A48" s="11" t="s">
        <v>55</v>
      </c>
      <c r="B48" s="12" t="n">
        <f aca="false">B45+B46+B47</f>
        <v>120829</v>
      </c>
      <c r="C48" s="12" t="n">
        <f aca="false">C45+C46+C47</f>
        <v>122370</v>
      </c>
      <c r="D48" s="12" t="n">
        <f aca="false">D45+D46+D47</f>
        <v>125231</v>
      </c>
      <c r="E48" s="12" t="n">
        <f aca="false">E45+E46+E47</f>
        <v>126521</v>
      </c>
    </row>
    <row r="49" customFormat="false" ht="15" hidden="false" customHeight="false" outlineLevel="0" collapsed="false">
      <c r="A49" s="13" t="s">
        <v>56</v>
      </c>
      <c r="B49" s="15" t="n">
        <f aca="false">B35-B48</f>
        <v>0</v>
      </c>
      <c r="C49" s="15" t="n">
        <f aca="false">C35-C48</f>
        <v>0</v>
      </c>
      <c r="D49" s="15" t="n">
        <f aca="false">D35-D48</f>
        <v>0</v>
      </c>
      <c r="E49" s="15" t="n">
        <f aca="false">E35-E48</f>
        <v>0</v>
      </c>
    </row>
    <row r="51" customFormat="false" ht="15" hidden="false" customHeight="false" outlineLevel="0" collapsed="false">
      <c r="A51" s="6" t="s">
        <v>57</v>
      </c>
      <c r="B51" s="7"/>
      <c r="C51" s="7"/>
      <c r="D51" s="7"/>
      <c r="E51" s="7"/>
      <c r="F51" s="7"/>
      <c r="G51" s="7"/>
    </row>
    <row r="52" customFormat="false" ht="15" hidden="false" customHeight="false" outlineLevel="0" collapsed="false">
      <c r="A52" s="11" t="s">
        <v>58</v>
      </c>
      <c r="B52" s="17" t="n">
        <f aca="false">B39+B40+B42+B43</f>
        <v>35424</v>
      </c>
      <c r="C52" s="17" t="n">
        <f aca="false">C39+C40+C42+C43</f>
        <v>33369</v>
      </c>
      <c r="D52" s="17" t="n">
        <f aca="false">D39+D40+D42+D43</f>
        <v>35463</v>
      </c>
      <c r="E52" s="17" t="n">
        <f aca="false">E39+E40+E42+E43</f>
        <v>35026</v>
      </c>
      <c r="G52" s="10" t="s">
        <v>59</v>
      </c>
    </row>
    <row r="53" customFormat="false" ht="15" hidden="false" customHeight="false" outlineLevel="0" collapsed="false">
      <c r="A53" s="8" t="s">
        <v>60</v>
      </c>
      <c r="B53" s="15" t="n">
        <f aca="false">B52-B26</f>
        <v>27178</v>
      </c>
      <c r="C53" s="15" t="n">
        <f aca="false">C52-C26</f>
        <v>23887</v>
      </c>
      <c r="D53" s="15" t="n">
        <f aca="false">D52-D26</f>
        <v>25907</v>
      </c>
      <c r="E53" s="15" t="n">
        <f aca="false">E52-E26</f>
        <v>25084</v>
      </c>
    </row>
    <row r="55" customFormat="false" ht="15" hidden="false" customHeight="false" outlineLevel="0" collapsed="false">
      <c r="A55" s="8" t="s">
        <v>61</v>
      </c>
      <c r="B55" s="15" t="n">
        <f aca="false">(B30-B26)-(B41-B39-B40)</f>
        <v>-10903</v>
      </c>
      <c r="C55" s="15" t="n">
        <f aca="false">(C30-C26)-(C41-C39-C40)</f>
        <v>-10966</v>
      </c>
      <c r="D55" s="15" t="n">
        <f aca="false">(D30-D26)-(D41-D39-D40)</f>
        <v>-10455</v>
      </c>
      <c r="E55" s="15" t="n">
        <f aca="false">(E30-E26)-(E41-E39-E40)</f>
        <v>-10885</v>
      </c>
      <c r="G55" s="10" t="s">
        <v>62</v>
      </c>
    </row>
    <row r="56" customFormat="false" ht="15" hidden="false" customHeight="false" outlineLevel="0" collapsed="false">
      <c r="A56" s="8" t="s">
        <v>34</v>
      </c>
      <c r="B56" s="15" t="n">
        <f aca="false">B31</f>
        <v>21909</v>
      </c>
      <c r="C56" s="15" t="n">
        <f aca="false">C31</f>
        <v>22152</v>
      </c>
      <c r="D56" s="15" t="n">
        <f aca="false">D31</f>
        <v>23897</v>
      </c>
      <c r="E56" s="15" t="n">
        <f aca="false">E31</f>
        <v>25360</v>
      </c>
    </row>
    <row r="57" customFormat="false" ht="15" hidden="false" customHeight="false" outlineLevel="0" collapsed="false">
      <c r="A57" s="8" t="s">
        <v>63</v>
      </c>
      <c r="B57" s="15" t="n">
        <f aca="false">B32+B33</f>
        <v>64442</v>
      </c>
      <c r="C57" s="15" t="n">
        <f aca="false">C32+C33</f>
        <v>62350</v>
      </c>
      <c r="D57" s="15" t="n">
        <f aca="false">D32+D33</f>
        <v>63560</v>
      </c>
      <c r="E57" s="15" t="n">
        <f aca="false">E32+E33</f>
        <v>62720</v>
      </c>
      <c r="G57" s="10" t="s">
        <v>64</v>
      </c>
    </row>
    <row r="58" customFormat="false" ht="15" hidden="false" customHeight="false" outlineLevel="0" collapsed="false">
      <c r="A58" s="8" t="s">
        <v>65</v>
      </c>
      <c r="B58" s="15" t="n">
        <f aca="false">B34-B44</f>
        <v>-1205</v>
      </c>
      <c r="C58" s="15" t="n">
        <f aca="false">C34-C44</f>
        <v>909</v>
      </c>
      <c r="D58" s="15" t="n">
        <f aca="false">D34-D44</f>
        <v>1189</v>
      </c>
      <c r="E58" s="15" t="n">
        <f aca="false">E34-E44</f>
        <v>2200</v>
      </c>
    </row>
    <row r="59" customFormat="false" ht="15" hidden="false" customHeight="false" outlineLevel="0" collapsed="false">
      <c r="A59" s="11" t="s">
        <v>66</v>
      </c>
      <c r="B59" s="12" t="n">
        <f aca="false">SUM(B55:B58)</f>
        <v>74243</v>
      </c>
      <c r="C59" s="12" t="n">
        <f aca="false">SUM(C55:C58)</f>
        <v>74445</v>
      </c>
      <c r="D59" s="12" t="n">
        <f aca="false">SUM(D55:D58)</f>
        <v>78191</v>
      </c>
      <c r="E59" s="12" t="n">
        <f aca="false">SUM(E55:E58)</f>
        <v>79395</v>
      </c>
    </row>
    <row r="60" customFormat="false" ht="15" hidden="false" customHeight="false" outlineLevel="0" collapsed="false">
      <c r="A60" s="8" t="s">
        <v>67</v>
      </c>
      <c r="B60" s="15" t="n">
        <f aca="false">B53+B46+B47</f>
        <v>74243</v>
      </c>
      <c r="C60" s="15" t="n">
        <f aca="false">C53+C46+C47</f>
        <v>74445</v>
      </c>
      <c r="D60" s="15" t="n">
        <f aca="false">D53+D46+D47</f>
        <v>78191</v>
      </c>
      <c r="E60" s="15" t="n">
        <f aca="false">E53+E46+E47</f>
        <v>79395</v>
      </c>
    </row>
    <row r="61" customFormat="false" ht="15" hidden="false" customHeight="false" outlineLevel="0" collapsed="false">
      <c r="A61" s="13" t="s">
        <v>68</v>
      </c>
      <c r="B61" s="15" t="n">
        <f aca="false">B59-B60</f>
        <v>0</v>
      </c>
      <c r="C61" s="15" t="n">
        <f aca="false">C59-C60</f>
        <v>0</v>
      </c>
      <c r="D61" s="15" t="n">
        <f aca="false">D59-D60</f>
        <v>0</v>
      </c>
      <c r="E61" s="15" t="n">
        <f aca="false">E59-E60</f>
        <v>0</v>
      </c>
      <c r="G61" s="10" t="s">
        <v>69</v>
      </c>
    </row>
    <row r="63" customFormat="false" ht="15" hidden="false" customHeight="false" outlineLevel="0" collapsed="false">
      <c r="A63" s="6" t="s">
        <v>70</v>
      </c>
      <c r="B63" s="7"/>
      <c r="C63" s="7"/>
      <c r="D63" s="7"/>
      <c r="E63" s="7"/>
      <c r="F63" s="7"/>
      <c r="G63" s="7"/>
    </row>
    <row r="64" customFormat="false" ht="15" hidden="false" customHeight="false" outlineLevel="0" collapsed="false">
      <c r="A64" s="8" t="s">
        <v>71</v>
      </c>
      <c r="B64" s="9" t="n">
        <v>16848</v>
      </c>
      <c r="C64" s="9" t="n">
        <v>19846</v>
      </c>
      <c r="D64" s="9" t="n">
        <v>17817</v>
      </c>
      <c r="E64" s="9" t="n">
        <v>19556</v>
      </c>
      <c r="G64" s="10" t="s">
        <v>10</v>
      </c>
    </row>
    <row r="65" customFormat="false" ht="15" hidden="false" customHeight="false" outlineLevel="0" collapsed="false">
      <c r="A65" s="8" t="s">
        <v>72</v>
      </c>
      <c r="B65" s="9" t="n">
        <v>3062</v>
      </c>
      <c r="C65" s="9" t="n">
        <v>3322</v>
      </c>
      <c r="D65" s="9" t="n">
        <v>3773</v>
      </c>
      <c r="E65" s="9" t="n">
        <v>4409</v>
      </c>
      <c r="G65" s="10" t="s">
        <v>10</v>
      </c>
    </row>
    <row r="66" customFormat="false" ht="15" hidden="false" customHeight="false" outlineLevel="0" collapsed="false">
      <c r="A66" s="11" t="s">
        <v>73</v>
      </c>
      <c r="B66" s="12" t="n">
        <f aca="false">B64-B65</f>
        <v>13786</v>
      </c>
      <c r="C66" s="12" t="n">
        <f aca="false">C64-C65</f>
        <v>16524</v>
      </c>
      <c r="D66" s="12" t="n">
        <f aca="false">D64-D65</f>
        <v>14044</v>
      </c>
      <c r="E66" s="12" t="n">
        <f aca="false">E64-E65</f>
        <v>15147</v>
      </c>
    </row>
    <row r="68" customFormat="false" ht="15" hidden="false" customHeight="false" outlineLevel="0" collapsed="false">
      <c r="A68" s="10" t="s">
        <v>74</v>
      </c>
    </row>
    <row r="69" customFormat="false" ht="15" hidden="false" customHeight="false" outlineLevel="0" collapsed="false">
      <c r="A69" s="10" t="s">
        <v>75</v>
      </c>
    </row>
    <row r="70" customFormat="false" ht="15" hidden="false" customHeight="false" outlineLevel="0" collapsed="false">
      <c r="A70" s="1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3"/>
    <col collapsed="false" customWidth="true" hidden="false" outlineLevel="0" max="7" min="7" style="0" width="2"/>
    <col collapsed="false" customWidth="true" hidden="false" outlineLevel="0" max="8" min="8" style="0" width="50"/>
  </cols>
  <sheetData>
    <row r="1" customFormat="false" ht="21.75" hidden="false" customHeight="true" outlineLevel="0" collapsed="false">
      <c r="A1" s="1" t="s">
        <v>77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78</v>
      </c>
    </row>
    <row r="4" customFormat="false" ht="15" hidden="false" customHeight="fals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79</v>
      </c>
      <c r="H4" s="4" t="s">
        <v>80</v>
      </c>
    </row>
    <row r="6" customFormat="false" ht="15" hidden="false" customHeight="false" outlineLevel="0" collapsed="false">
      <c r="A6" s="6" t="s">
        <v>81</v>
      </c>
      <c r="B6" s="7"/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A7" s="8" t="s">
        <v>82</v>
      </c>
      <c r="B7" s="18" t="s">
        <v>83</v>
      </c>
      <c r="C7" s="19" t="n">
        <f aca="false">Historicals!C7/Historicals!B7-1</f>
        <v>0.0247908689608078</v>
      </c>
      <c r="D7" s="19" t="n">
        <f aca="false">Historicals!D7/Historicals!C7-1</f>
        <v>0.00291531312842852</v>
      </c>
      <c r="E7" s="19" t="n">
        <f aca="false">Historicals!E7/Historicals!D7-1</f>
        <v>0.032604052963789</v>
      </c>
      <c r="F7" s="20" t="n">
        <f aca="false">AVERAGE(C7:E7)</f>
        <v>0.0201034116843418</v>
      </c>
      <c r="H7" s="10" t="s">
        <v>84</v>
      </c>
    </row>
    <row r="8" customFormat="false" ht="15" hidden="false" customHeight="false" outlineLevel="0" collapsed="false">
      <c r="A8" s="8" t="s">
        <v>85</v>
      </c>
      <c r="B8" s="19" t="n">
        <f aca="false">Historicals!B9/Historicals!B7</f>
        <v>0.478574738433773</v>
      </c>
      <c r="C8" s="19" t="n">
        <f aca="false">Historicals!C9/Historicals!C7</f>
        <v>0.513939956448792</v>
      </c>
      <c r="D8" s="19" t="n">
        <f aca="false">Historicals!D9/Historicals!D7</f>
        <v>0.511603625836458</v>
      </c>
      <c r="E8" s="19" t="n">
        <f aca="false">Historicals!E9/Historicals!E7</f>
        <v>0.501769464105157</v>
      </c>
      <c r="F8" s="20" t="n">
        <f aca="false">AVERAGE(B8:E8)</f>
        <v>0.501471946206045</v>
      </c>
    </row>
    <row r="9" customFormat="false" ht="15" hidden="false" customHeight="false" outlineLevel="0" collapsed="false">
      <c r="A9" s="8" t="s">
        <v>86</v>
      </c>
      <c r="B9" s="21" t="n">
        <f aca="false">Historicals!B11/Historicals!B7</f>
        <v>0.221130161207717</v>
      </c>
      <c r="C9" s="21" t="n">
        <f aca="false">Historicals!C11/Historicals!C7</f>
        <v>0.220671354966147</v>
      </c>
      <c r="D9" s="21" t="n">
        <f aca="false">Historicals!D11/Historicals!D7</f>
        <v>0.242643918181387</v>
      </c>
      <c r="E9" s="21" t="n">
        <f aca="false">Historicals!E11/Historicals!E7</f>
        <v>0.226905046419708</v>
      </c>
      <c r="F9" s="22" t="n">
        <f aca="false">AVERAGE(B9:E9)</f>
        <v>0.227837620193739</v>
      </c>
      <c r="H9" s="10" t="s">
        <v>87</v>
      </c>
    </row>
    <row r="10" customFormat="false" ht="15" hidden="false" customHeight="false" outlineLevel="0" collapsed="false">
      <c r="A10" s="8" t="s">
        <v>88</v>
      </c>
      <c r="B10" s="19" t="n">
        <f aca="false">Historicals!B14/Historicals!B7</f>
        <v>0.254225300587762</v>
      </c>
      <c r="C10" s="19" t="n">
        <f aca="false">Historicals!C14/Historicals!C7</f>
        <v>0.255131546067897</v>
      </c>
      <c r="D10" s="19" t="n">
        <f aca="false">Historicals!D14/Historicals!D7</f>
        <v>0.276422571306535</v>
      </c>
      <c r="E10" s="19" t="n">
        <f aca="false">Historicals!E14/Historicals!E7</f>
        <v>0.263213530655391</v>
      </c>
      <c r="F10" s="20" t="n">
        <f aca="false">AVERAGE(B10:E10)</f>
        <v>0.262248237154396</v>
      </c>
    </row>
    <row r="11" customFormat="false" ht="15" hidden="false" customHeight="false" outlineLevel="0" collapsed="false">
      <c r="A11" s="8" t="s">
        <v>89</v>
      </c>
      <c r="B11" s="19" t="n">
        <f aca="false">Historicals!B21/Historicals!B7</f>
        <v>0.175243274882326</v>
      </c>
      <c r="C11" s="19" t="n">
        <f aca="false">Historicals!C21/Historicals!C7</f>
        <v>0.173669367793524</v>
      </c>
      <c r="D11" s="19" t="n">
        <f aca="false">Historicals!D21/Historicals!D7</f>
        <v>0.186061411418537</v>
      </c>
      <c r="E11" s="19" t="n">
        <f aca="false">Historicals!E21/Historicals!E7</f>
        <v>0.181013879952202</v>
      </c>
      <c r="F11" s="20" t="n">
        <f aca="false">AVERAGE(B11:E11)</f>
        <v>0.178996983511647</v>
      </c>
    </row>
    <row r="12" customFormat="false" ht="15" hidden="false" customHeight="false" outlineLevel="0" collapsed="false">
      <c r="A12" s="8" t="s">
        <v>90</v>
      </c>
      <c r="B12" s="21" t="n">
        <f aca="false">Historicals!B18/Historicals!B17</f>
        <v>0.196970522530377</v>
      </c>
      <c r="C12" s="21" t="n">
        <f aca="false">Historicals!C18/Historicals!C17</f>
        <v>0.201854911785086</v>
      </c>
      <c r="D12" s="21" t="n">
        <f aca="false">Historicals!D18/Historicals!D17</f>
        <v>0.203401596667824</v>
      </c>
      <c r="E12" s="21" t="n">
        <f aca="false">Historicals!E18/Historicals!E17</f>
        <v>0.207734210138882</v>
      </c>
      <c r="F12" s="22" t="n">
        <f aca="false">AVERAGE(B12:E12)</f>
        <v>0.202490310280542</v>
      </c>
      <c r="H12" s="10" t="s">
        <v>91</v>
      </c>
    </row>
    <row r="14" customFormat="false" ht="15" hidden="false" customHeight="false" outlineLevel="0" collapsed="false">
      <c r="A14" s="6" t="s">
        <v>92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8" t="s">
        <v>93</v>
      </c>
      <c r="B15" s="21" t="n">
        <f aca="false">Historicals!B31/Historicals!C7</f>
        <v>0.260700389105058</v>
      </c>
      <c r="C15" s="21" t="n">
        <f aca="false">Historicals!C31/Historicals!D7</f>
        <v>0.262825684590195</v>
      </c>
      <c r="D15" s="21" t="n">
        <f aca="false">Historicals!D31/Historicals!E7</f>
        <v>0.274577167019027</v>
      </c>
      <c r="E15" s="18" t="s">
        <v>83</v>
      </c>
      <c r="F15" s="22" t="n">
        <f aca="false">AVERAGE(B15:D15)</f>
        <v>0.266034413571427</v>
      </c>
      <c r="H15" s="10" t="s">
        <v>94</v>
      </c>
    </row>
    <row r="16" customFormat="false" ht="15" hidden="false" customHeight="false" outlineLevel="0" collapsed="false">
      <c r="A16" s="8" t="s">
        <v>95</v>
      </c>
      <c r="B16" s="18" t="s">
        <v>83</v>
      </c>
      <c r="C16" s="21" t="n">
        <f aca="false">Historicals!C13/Historicals!B31</f>
        <v>0.132183121091789</v>
      </c>
      <c r="D16" s="21" t="n">
        <f aca="false">Historicals!D13/Historicals!C31</f>
        <v>0.128521126760563</v>
      </c>
      <c r="E16" s="21" t="n">
        <f aca="false">Historicals!E13/Historicals!D31</f>
        <v>0.132234171653346</v>
      </c>
      <c r="F16" s="22" t="n">
        <f aca="false">AVERAGE(C16:E16)</f>
        <v>0.130979473168566</v>
      </c>
      <c r="H16" s="10" t="s">
        <v>96</v>
      </c>
    </row>
    <row r="17" customFormat="false" ht="15" hidden="false" customHeight="false" outlineLevel="0" collapsed="false">
      <c r="A17" s="8" t="s">
        <v>97</v>
      </c>
      <c r="B17" s="21" t="n">
        <f aca="false">Historicals!B55/Historicals!C7</f>
        <v>-0.129737383833696</v>
      </c>
      <c r="C17" s="21" t="n">
        <f aca="false">Historicals!C55/Historicals!D7</f>
        <v>-0.130107731004698</v>
      </c>
      <c r="D17" s="21" t="n">
        <f aca="false">Historicals!D55/Historicals!E7</f>
        <v>-0.120128228697491</v>
      </c>
      <c r="E17" s="18" t="s">
        <v>83</v>
      </c>
      <c r="F17" s="22" t="n">
        <f aca="false">AVERAGE(B17:D17)</f>
        <v>-0.126657781178628</v>
      </c>
      <c r="H17" s="10" t="s">
        <v>98</v>
      </c>
    </row>
    <row r="18" customFormat="false" ht="15" hidden="false" customHeight="false" outlineLevel="0" collapsed="false">
      <c r="A18" s="8" t="s">
        <v>99</v>
      </c>
      <c r="B18" s="18" t="s">
        <v>83</v>
      </c>
      <c r="C18" s="23" t="n">
        <f aca="false">Historicals!B31/Historicals!C13</f>
        <v>7.56526243093923</v>
      </c>
      <c r="D18" s="23" t="n">
        <f aca="false">Historicals!C31/Historicals!D13</f>
        <v>7.78082191780822</v>
      </c>
      <c r="E18" s="23" t="n">
        <f aca="false">Historicals!D31/Historicals!E13</f>
        <v>7.5623417721519</v>
      </c>
      <c r="F18" s="24" t="n">
        <f aca="false">AVERAGE(C18:E18)</f>
        <v>7.63614204029978</v>
      </c>
      <c r="H18" s="10" t="s">
        <v>100</v>
      </c>
    </row>
    <row r="20" customFormat="false" ht="15" hidden="false" customHeight="false" outlineLevel="0" collapsed="false">
      <c r="A20" s="6" t="s">
        <v>101</v>
      </c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8" t="s">
        <v>102</v>
      </c>
      <c r="B21" s="21" t="n">
        <f aca="false">Historicals!B65/Historicals!B7</f>
        <v>0.037338731312343</v>
      </c>
      <c r="C21" s="21" t="n">
        <f aca="false">Historicals!C65/Historicals!C7</f>
        <v>0.0395292661740382</v>
      </c>
      <c r="D21" s="21" t="n">
        <f aca="false">Historicals!D65/Historicals!D7</f>
        <v>0.04476531726069</v>
      </c>
      <c r="E21" s="21" t="n">
        <f aca="false">Historicals!E65/Historicals!E7</f>
        <v>0.0506595275301039</v>
      </c>
      <c r="F21" s="22" t="n">
        <f aca="false">AVERAGE(B21:E21)</f>
        <v>0.0430732105692938</v>
      </c>
      <c r="H21" s="10" t="s">
        <v>103</v>
      </c>
    </row>
    <row r="22" customFormat="false" ht="15" hidden="false" customHeight="false" outlineLevel="0" collapsed="false">
      <c r="A22" s="8" t="s">
        <v>104</v>
      </c>
      <c r="B22" s="25" t="n">
        <f aca="false">Historicals!B65/Historicals!B13</f>
        <v>1.12822402358143</v>
      </c>
      <c r="C22" s="25" t="n">
        <f aca="false">Historicals!C65/Historicals!C13</f>
        <v>1.14709944751381</v>
      </c>
      <c r="D22" s="25" t="n">
        <f aca="false">Historicals!D65/Historicals!D13</f>
        <v>1.32525465402178</v>
      </c>
      <c r="E22" s="25" t="n">
        <f aca="false">Historicals!E65/Historicals!E13</f>
        <v>1.39525316455696</v>
      </c>
      <c r="F22" s="26" t="n">
        <f aca="false">AVERAGE(B22:E22)</f>
        <v>1.2489578224185</v>
      </c>
    </row>
    <row r="23" customFormat="false" ht="15" hidden="false" customHeight="false" outlineLevel="0" collapsed="false">
      <c r="A23" s="8" t="s">
        <v>105</v>
      </c>
      <c r="B23" s="19" t="n">
        <f aca="false">Historicals!B57/Historicals!B35</f>
        <v>0.533332229845484</v>
      </c>
      <c r="C23" s="19" t="n">
        <f aca="false">Historicals!C57/Historicals!C35</f>
        <v>0.509520307264853</v>
      </c>
      <c r="D23" s="19" t="n">
        <f aca="false">Historicals!D57/Historicals!D35</f>
        <v>0.507542062268927</v>
      </c>
      <c r="E23" s="19" t="n">
        <f aca="false">Historicals!E57/Historicals!E35</f>
        <v>0.495727981916046</v>
      </c>
      <c r="F23" s="20" t="n">
        <f aca="false">AVERAGE(B23:E23)</f>
        <v>0.511530645323827</v>
      </c>
      <c r="H23" s="10" t="s">
        <v>106</v>
      </c>
    </row>
    <row r="24" customFormat="false" ht="15" hidden="false" customHeight="false" outlineLevel="0" collapsed="false">
      <c r="A24" s="8" t="s">
        <v>107</v>
      </c>
      <c r="B24" s="21" t="n">
        <f aca="false">Historicals!B58/Historicals!B7</f>
        <v>-0.0146940467770651</v>
      </c>
      <c r="C24" s="21" t="n">
        <f aca="false">Historicals!C58/Historicals!C7</f>
        <v>0.0108164066683326</v>
      </c>
      <c r="D24" s="21" t="n">
        <f aca="false">Historicals!D58/Historicals!D7</f>
        <v>0.0141070665844051</v>
      </c>
      <c r="E24" s="21" t="n">
        <f aca="false">Historicals!E58/Historicals!E7</f>
        <v>0.0252780586450961</v>
      </c>
      <c r="F24" s="22" t="n">
        <f aca="false">AVERAGE(B24:E24)</f>
        <v>0.00887687128019216</v>
      </c>
    </row>
    <row r="25" customFormat="false" ht="15" hidden="false" customHeight="false" outlineLevel="0" collapsed="false">
      <c r="A25" s="8" t="s">
        <v>108</v>
      </c>
      <c r="B25" s="27" t="n">
        <f aca="false">Historicals!B11*(1-Historicals!B18/Historicals!B17)</f>
        <v>14562.1365444342</v>
      </c>
      <c r="C25" s="27" t="n">
        <f aca="false">Historicals!C11*(1-Historicals!C18/Historicals!C17)</f>
        <v>14801.6006609456</v>
      </c>
      <c r="D25" s="27" t="n">
        <f aca="false">Historicals!D11*(1-Historicals!D18/Historicals!D17)</f>
        <v>16291.2339465463</v>
      </c>
      <c r="E25" s="27" t="n">
        <f aca="false">Historicals!E11*(1-Historicals!E18/Historicals!E17)</f>
        <v>15645.6648181774</v>
      </c>
      <c r="F25" s="17" t="n">
        <f aca="false">AVERAGE(B25:E25)</f>
        <v>15325.1589925259</v>
      </c>
    </row>
    <row r="26" customFormat="false" ht="15" hidden="false" customHeight="false" outlineLevel="0" collapsed="false">
      <c r="A26" s="8" t="s">
        <v>109</v>
      </c>
      <c r="B26" s="19" t="n">
        <f aca="false">B25/Historicals!B59</f>
        <v>0.196141542562048</v>
      </c>
      <c r="C26" s="19" t="n">
        <f aca="false">C25/Historicals!C59</f>
        <v>0.198825987788912</v>
      </c>
      <c r="D26" s="19" t="n">
        <f aca="false">D25/Historicals!D59</f>
        <v>0.208351778932951</v>
      </c>
      <c r="E26" s="19" t="n">
        <f aca="false">E25/Historicals!E59</f>
        <v>0.19706108468011</v>
      </c>
      <c r="F26" s="20" t="n">
        <f aca="false">AVERAGE(B26:E26)</f>
        <v>0.200095098491005</v>
      </c>
      <c r="H26" s="10" t="s">
        <v>110</v>
      </c>
    </row>
    <row r="27" customFormat="false" ht="15" hidden="false" customHeight="false" outlineLevel="0" collapsed="false">
      <c r="A27" s="8" t="s">
        <v>111</v>
      </c>
      <c r="B27" s="19" t="n">
        <f aca="false">Historicals!B21/Historicals!B47</f>
        <v>0.307223635547384</v>
      </c>
      <c r="C27" s="19" t="n">
        <f aca="false">Historicals!C21/Historicals!C47</f>
        <v>0.290239828182794</v>
      </c>
      <c r="D27" s="19" t="n">
        <f aca="false">Historicals!D21/Historicals!D47</f>
        <v>0.301507344458971</v>
      </c>
      <c r="E27" s="19" t="n">
        <f aca="false">Historicals!E21/Historicals!E47</f>
        <v>0.291303785063146</v>
      </c>
      <c r="F27" s="20" t="n">
        <f aca="false">AVERAGE(B27:E27)</f>
        <v>0.297568648313074</v>
      </c>
    </row>
    <row r="28" customFormat="false" ht="15" hidden="false" customHeight="false" outlineLevel="0" collapsed="false">
      <c r="A28" s="8" t="s">
        <v>112</v>
      </c>
      <c r="B28" s="25" t="n">
        <f aca="false">Historicals!B52/Historicals!B14</f>
        <v>1.6991557943208</v>
      </c>
      <c r="C28" s="25" t="n">
        <f aca="false">Historicals!C52/Historicals!C14</f>
        <v>1.55631733594515</v>
      </c>
      <c r="D28" s="25" t="n">
        <f aca="false">Historicals!D52/Historicals!D14</f>
        <v>1.52214782384754</v>
      </c>
      <c r="E28" s="25" t="n">
        <f aca="false">Historicals!E52/Historicals!E14</f>
        <v>1.52898550724638</v>
      </c>
      <c r="F28" s="26" t="n">
        <f aca="false">AVERAGE(B28:E28)</f>
        <v>1.57665161533997</v>
      </c>
    </row>
    <row r="29" customFormat="false" ht="15" hidden="false" customHeight="false" outlineLevel="0" collapsed="false">
      <c r="A29" s="8" t="s">
        <v>113</v>
      </c>
      <c r="B29" s="19" t="n">
        <f aca="false">Historicals!B66/Historicals!B21</f>
        <v>0.95929302066662</v>
      </c>
      <c r="C29" s="19" t="n">
        <f aca="false">Historicals!C66/Historicals!C21</f>
        <v>1.13216855087359</v>
      </c>
      <c r="D29" s="19" t="n">
        <f aca="false">Historicals!D66/Historicals!D21</f>
        <v>0.895549037112613</v>
      </c>
      <c r="E29" s="19" t="n">
        <f aca="false">Historicals!E66/Historicals!E21</f>
        <v>0.961470102831027</v>
      </c>
      <c r="F29" s="20" t="n">
        <f aca="false">AVERAGE(B29:E29)</f>
        <v>0.987120177870962</v>
      </c>
    </row>
    <row r="31" customFormat="false" ht="15" hidden="false" customHeight="false" outlineLevel="0" collapsed="false">
      <c r="A31" s="1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2026-09-15T22:26:56Z</dcterms:created>
  <dc:creator>openpyxl</dc:creator>
  <dc:description/>
  <dc:language>en-US</dc:language>
  <cp:lastModifiedBy/>
  <dcterms:modified xsi:type="dcterms:W3CDTF">2026-09-15T22:26:56Z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